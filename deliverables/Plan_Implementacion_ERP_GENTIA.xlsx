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Portada" state="visible" r:id="rId4"/>
    <sheet sheetId="2" name="01_Dashboard" state="visible" r:id="rId5"/>
    <sheet sheetId="3" name="02_Plan_Maestro" state="visible" r:id="rId6"/>
    <sheet sheetId="4" name="03_Rollout_Filiales" state="visible" r:id="rId7"/>
    <sheet sheetId="5" name="04_Hitos_Entregables" state="visible" r:id="rId8"/>
    <sheet sheetId="6" name="05_Migracion_Datos" state="visible" r:id="rId9"/>
    <sheet sheetId="7" name="06_Pruebas_UAT" state="visible" r:id="rId10"/>
    <sheet sheetId="8" name="07_Capacitacion" state="visible" r:id="rId11"/>
    <sheet sheetId="9" name="08_RACI" state="visible" r:id="rId12"/>
    <sheet sheetId="10" name="09_Riesgos" state="visible" r:id="rId13"/>
    <sheet sheetId="11" name="10_Cutover_GoLive" state="visible" r:id="rId14"/>
    <sheet sheetId="12" name="11_Estabilizacion" state="visible" r:id="rId15"/>
    <sheet sheetId="13" name="99_Listas" state="veryHidden" r:id="rId16"/>
  </sheets>
  <calcPr calcId="171027" fullCalcOnLoad="1"/>
</workbook>
</file>

<file path=xl/sharedStrings.xml><?xml version="1.0" encoding="utf-8"?>
<sst xmlns="http://schemas.openxmlformats.org/spreadsheetml/2006/main" count="12491" uniqueCount="3163">
  <si>
    <t>GENTIA</t>
  </si>
  <si>
    <t>PLAN DE IMPLEMENTACIÓN DEL ERP</t>
  </si>
  <si>
    <t>Hoja de ruta integral, control de avance y evidencia de aceptación</t>
  </si>
  <si>
    <t>Proyecto</t>
  </si>
  <si>
    <t>Implementación ERP GENTIA</t>
  </si>
  <si>
    <t>Versión</t>
  </si>
  <si>
    <t>1.0</t>
  </si>
  <si>
    <t>Fecha de elaboración</t>
  </si>
  <si>
    <t>Inicio base editable</t>
  </si>
  <si>
    <t>Salida objetivo editable</t>
  </si>
  <si>
    <t>Estrategia sugerida</t>
  </si>
  <si>
    <t>Rollout por olas: piloto → filiales prioritarias → resto del grupo</t>
  </si>
  <si>
    <t>Responsables</t>
  </si>
  <si>
    <t>Roles sugeridos; el cliente debe confirmar nombres y disponibilidad</t>
  </si>
  <si>
    <t>Subsidiarias incluidas</t>
  </si>
  <si>
    <t>Actividades detalladas</t>
  </si>
  <si>
    <t>Referencia</t>
  </si>
  <si>
    <t>Implementacion 2026 - GENTIA.xlsx</t>
  </si>
  <si>
    <t>SUPUESTOS EDITABLES Y REGLAS DE USO</t>
  </si>
  <si>
    <t>1. Confirme las fechas, responsables y olas antes de aprobar la línea base.</t>
  </si>
  <si>
    <t>2. Actualice Estado y % avance; el Dashboard se recalcula al abrir Excel.</t>
  </si>
  <si>
    <t>3. No sobrescriba fórmulas de Duración, Semáforo, diferencias ni porcentajes.</t>
  </si>
  <si>
    <t>4. Go-Live exige Mayor cuadrado, auxiliares conciliados en 0,00, UAT aprobada y cero defectos críticos.</t>
  </si>
  <si>
    <t>5. Adjunte evidencia verificable para cada actividad, carga, prueba, hito y decisión.</t>
  </si>
  <si>
    <t>DASHBOARD EJECUTIVO</t>
  </si>
  <si>
    <t>Indicadores dinámicos de avance, pruebas, riesgos y filiales.</t>
  </si>
  <si>
    <t>Actividades</t>
  </si>
  <si>
    <t>Completadas</t>
  </si>
  <si>
    <t>Avance</t>
  </si>
  <si>
    <t>Vencidas</t>
  </si>
  <si>
    <t>Bloqueadas</t>
  </si>
  <si>
    <t>Riesgos críticos</t>
  </si>
  <si>
    <t>UAT</t>
  </si>
  <si>
    <t>Preparación filiales</t>
  </si>
  <si>
    <t>AVANCE POR MÓDULO</t>
  </si>
  <si>
    <t>Módulo</t>
  </si>
  <si>
    <t>Total</t>
  </si>
  <si>
    <t/>
  </si>
  <si>
    <t>Gobierno del proyecto</t>
  </si>
  <si>
    <t>Infraestructura y plataforma</t>
  </si>
  <si>
    <t>CORE</t>
  </si>
  <si>
    <t>Organización</t>
  </si>
  <si>
    <t>Seguridad</t>
  </si>
  <si>
    <t>Configuración transversal</t>
  </si>
  <si>
    <t>Contabilidad</t>
  </si>
  <si>
    <t>Motor de transacciones</t>
  </si>
  <si>
    <t>Entidades</t>
  </si>
  <si>
    <t>Ventas y Cuentas por Cobrar</t>
  </si>
  <si>
    <t>Compras y Cuentas por Pagar</t>
  </si>
  <si>
    <t>Gastos</t>
  </si>
  <si>
    <t>Workflow y aprobaciones</t>
  </si>
  <si>
    <t>Bancos</t>
  </si>
  <si>
    <t>Tesorería</t>
  </si>
  <si>
    <t>Activos Fijos</t>
  </si>
  <si>
    <t>Inventario</t>
  </si>
  <si>
    <t>Fiscal</t>
  </si>
  <si>
    <t>Intercompany y Consolidación</t>
  </si>
  <si>
    <t>Documentos</t>
  </si>
  <si>
    <t>Auditoría</t>
  </si>
  <si>
    <t>Informes</t>
  </si>
  <si>
    <t>IA (opcional)</t>
  </si>
  <si>
    <t>Migración de datos</t>
  </si>
  <si>
    <t>Pruebas formación y salida</t>
  </si>
  <si>
    <t>PLAN MAESTRO DE IMPLEMENTACIÓN</t>
  </si>
  <si>
    <t>Actualice Estado y % avance. Duración y Semáforo son fórmulas.</t>
  </si>
  <si>
    <t>ID</t>
  </si>
  <si>
    <t>Fase</t>
  </si>
  <si>
    <t>Submódulo / proceso</t>
  </si>
  <si>
    <t>Actividad</t>
  </si>
  <si>
    <t>Detalle paso a paso</t>
  </si>
  <si>
    <t>Entregable</t>
  </si>
  <si>
    <t>Criterio de aceptación</t>
  </si>
  <si>
    <t>Evidencia requerida</t>
  </si>
  <si>
    <t>Alcance / filiales</t>
  </si>
  <si>
    <t>Responsable GENTIA</t>
  </si>
  <si>
    <t>Responsable cliente</t>
  </si>
  <si>
    <t>Predecesora</t>
  </si>
  <si>
    <t>Dependencia</t>
  </si>
  <si>
    <t>Prioridad</t>
  </si>
  <si>
    <t>Peso</t>
  </si>
  <si>
    <t>Inicio plan</t>
  </si>
  <si>
    <t>Fin plan</t>
  </si>
  <si>
    <t>Duración hábil</t>
  </si>
  <si>
    <t>Inicio real</t>
  </si>
  <si>
    <t>Fin real</t>
  </si>
  <si>
    <t>Estado</t>
  </si>
  <si>
    <t>% avance</t>
  </si>
  <si>
    <t>Semáforo</t>
  </si>
  <si>
    <t>Observaciones</t>
  </si>
  <si>
    <t>IMP-001</t>
  </si>
  <si>
    <t>1. Gobierno y preparación</t>
  </si>
  <si>
    <t>Acta de constitución y criterios de éxito</t>
  </si>
  <si>
    <t>Definir y aprobar: Acta de constitución y criterios de éxito</t>
  </si>
  <si>
    <t>1) Convocar responsables de Acta de constitución y criterios de éxito. 2) Acordar alcance, fechas y dependencias. 3) Documentar decisión y responsable. 4) Obtener aprobación formal. 5) Archivar evidencia.</t>
  </si>
  <si>
    <t>Acta de constitución y criterios de éxito: configuración, evidencia y acta</t>
  </si>
  <si>
    <t>Acta de constitución y criterios de éxito documentado con responsable, fecha y aprobación formal.</t>
  </si>
  <si>
    <t>Capturas, archivo de prueba, conciliación y aprobación</t>
  </si>
  <si>
    <t>Todas las filiales / ajustar por ola</t>
  </si>
  <si>
    <t>Director de proyecto</t>
  </si>
  <si>
    <t>Patrocinador ejecutivo</t>
  </si>
  <si>
    <t>Prerrequisitos del módulo</t>
  </si>
  <si>
    <t>Alta</t>
  </si>
  <si>
    <t>No iniciada</t>
  </si>
  <si>
    <t>IMP-002</t>
  </si>
  <si>
    <t>Alcance por país, filial, módulo y proceso</t>
  </si>
  <si>
    <t>Definir y aprobar: Alcance por país, filial, módulo y proceso</t>
  </si>
  <si>
    <t>1) Convocar responsables de Alcance por país, filial, módulo y proceso. 2) Acordar alcance, fechas y dependencias. 3) Documentar decisión y responsable. 4) Obtener aprobación formal. 5) Archivar evidencia.</t>
  </si>
  <si>
    <t>Alcance por país, filial, módulo y proceso: configuración, evidencia y acta</t>
  </si>
  <si>
    <t>Alcance por país, filial, módulo y proceso documentado con responsable, fecha y aprobación formal.</t>
  </si>
  <si>
    <t>Finalizar IMP-001</t>
  </si>
  <si>
    <t>IMP-003</t>
  </si>
  <si>
    <t>Estrategia de rollout por olas</t>
  </si>
  <si>
    <t>Definir y aprobar: Estrategia de rollout por olas</t>
  </si>
  <si>
    <t>1) Convocar responsables de Estrategia de rollout por olas. 2) Acordar alcance, fechas y dependencias. 3) Documentar decisión y responsable. 4) Obtener aprobación formal. 5) Archivar evidencia.</t>
  </si>
  <si>
    <t>Estrategia de rollout por olas: configuración, evidencia y acta</t>
  </si>
  <si>
    <t>Estrategia de rollout por olas documentado con responsable, fecha y aprobación formal.</t>
  </si>
  <si>
    <t>Finalizar IMP-002</t>
  </si>
  <si>
    <t>Media</t>
  </si>
  <si>
    <t>IMP-004</t>
  </si>
  <si>
    <t>RACI y disponibilidad de responsables</t>
  </si>
  <si>
    <t>Definir y aprobar: RACI y disponibilidad de responsables</t>
  </si>
  <si>
    <t>1) Convocar responsables de RACI y disponibilidad de responsables. 2) Acordar alcance, fechas y dependencias. 3) Documentar decisión y responsable. 4) Obtener aprobación formal. 5) Archivar evidencia.</t>
  </si>
  <si>
    <t>RACI y disponibilidad de responsables: configuración, evidencia y acta</t>
  </si>
  <si>
    <t>RACI y disponibilidad de responsables documentado con responsable, fecha y aprobación formal.</t>
  </si>
  <si>
    <t>Finalizar IMP-003</t>
  </si>
  <si>
    <t>IMP-005</t>
  </si>
  <si>
    <t>Calendario de comités y comunicaciones</t>
  </si>
  <si>
    <t>Definir y aprobar: Calendario de comités y comunicaciones</t>
  </si>
  <si>
    <t>1) Convocar responsables de Calendario de comités y comunicaciones. 2) Acordar alcance, fechas y dependencias. 3) Documentar decisión y responsable. 4) Obtener aprobación formal. 5) Archivar evidencia.</t>
  </si>
  <si>
    <t>Calendario de comités y comunicaciones: configuración, evidencia y acta</t>
  </si>
  <si>
    <t>Calendario de comités y comunicaciones documentado con responsable, fecha y aprobación formal.</t>
  </si>
  <si>
    <t>Finalizar IMP-004</t>
  </si>
  <si>
    <t>IMP-006</t>
  </si>
  <si>
    <t>Registro de riesgos, incidencias y decisiones</t>
  </si>
  <si>
    <t>Definir y aprobar: Registro de riesgos, incidencias y decisiones</t>
  </si>
  <si>
    <t>1) Convocar responsables de Registro de riesgos, incidencias y decisiones. 2) Acordar alcance, fechas y dependencias. 3) Documentar decisión y responsable. 4) Obtener aprobación formal. 5) Archivar evidencia.</t>
  </si>
  <si>
    <t>Registro de riesgos, incidencias y decisiones: configuración, evidencia y acta</t>
  </si>
  <si>
    <t>Registro de riesgos, incidencias y decisiones documentado con responsable, fecha y aprobación formal.</t>
  </si>
  <si>
    <t>Finalizar IMP-005</t>
  </si>
  <si>
    <t>IMP-007</t>
  </si>
  <si>
    <t>Control de cambios de alcance</t>
  </si>
  <si>
    <t>Definir y aprobar: Control de cambios de alcance</t>
  </si>
  <si>
    <t>1) Convocar responsables de Control de cambios de alcance. 2) Acordar alcance, fechas y dependencias. 3) Documentar decisión y responsable. 4) Obtener aprobación formal. 5) Archivar evidencia.</t>
  </si>
  <si>
    <t>Control de cambios de alcance: configuración, evidencia y acta</t>
  </si>
  <si>
    <t>Control de cambios de alcance documentado con responsable, fecha y aprobación formal.</t>
  </si>
  <si>
    <t>Finalizar IMP-006</t>
  </si>
  <si>
    <t>IMP-008</t>
  </si>
  <si>
    <t>Inventario de sistemas fuente e interfaces</t>
  </si>
  <si>
    <t>Definir y aprobar: Inventario de sistemas fuente e interfaces</t>
  </si>
  <si>
    <t>1) Convocar responsables de Inventario de sistemas fuente e interfaces. 2) Acordar alcance, fechas y dependencias. 3) Documentar decisión y responsable. 4) Obtener aprobación formal. 5) Archivar evidencia.</t>
  </si>
  <si>
    <t>Inventario de sistemas fuente e interfaces: configuración, evidencia y acta</t>
  </si>
  <si>
    <t>Inventario de sistemas fuente e interfaces documentado con responsable, fecha y aprobación formal.</t>
  </si>
  <si>
    <t>Finalizar IMP-007</t>
  </si>
  <si>
    <t>IMP-009</t>
  </si>
  <si>
    <t>Plan de calidad y evidencias</t>
  </si>
  <si>
    <t>Definir y aprobar: Plan de calidad y evidencias</t>
  </si>
  <si>
    <t>1) Convocar responsables de Plan de calidad y evidencias. 2) Acordar alcance, fechas y dependencias. 3) Documentar decisión y responsable. 4) Obtener aprobación formal. 5) Archivar evidencia.</t>
  </si>
  <si>
    <t>Plan de calidad y evidencias: configuración, evidencia y acta</t>
  </si>
  <si>
    <t>Plan de calidad y evidencias documentado con responsable, fecha y aprobación formal.</t>
  </si>
  <si>
    <t>Finalizar IMP-008</t>
  </si>
  <si>
    <t>IMP-010</t>
  </si>
  <si>
    <t>Ambientes de desarrollo, pruebas y producción</t>
  </si>
  <si>
    <t>Configurar y validar: Ambientes de desarrollo, pruebas y producción</t>
  </si>
  <si>
    <t>1) Diseñar Ambientes de desarrollo, pruebas y producción. 2) Configurar primero en pruebas sin exponer secretos. 3) Ejecutar prueba positiva, negativa y recuperación. 4) Documentar monitoreo y rollback. 5) Promover con aprobación.</t>
  </si>
  <si>
    <t>Ambientes de desarrollo, pruebas y producción: configuración, evidencia y acta</t>
  </si>
  <si>
    <t>Ambientes de desarrollo, pruebas y producción opera en pruebas y producción, sin secretos expuestos, con monitoreo y rollback verificado.</t>
  </si>
  <si>
    <t>Líder técnico</t>
  </si>
  <si>
    <t>TI / Seguridad</t>
  </si>
  <si>
    <t>Crítica</t>
  </si>
  <si>
    <t>IMP-011</t>
  </si>
  <si>
    <t>Supabase, migraciones y políticas RLS</t>
  </si>
  <si>
    <t>Configurar y validar: Supabase, migraciones y políticas RLS</t>
  </si>
  <si>
    <t>1) Diseñar Supabase, migraciones y políticas RLS. 2) Configurar primero en pruebas sin exponer secretos. 3) Ejecutar prueba positiva, negativa y recuperación. 4) Documentar monitoreo y rollback. 5) Promover con aprobación.</t>
  </si>
  <si>
    <t>Supabase, migraciones y políticas RLS: configuración, evidencia y acta</t>
  </si>
  <si>
    <t>Supabase, migraciones y políticas RLS opera en pruebas y producción, sin secretos expuestos, con monitoreo y rollback verificado.</t>
  </si>
  <si>
    <t>Finalizar IMP-010</t>
  </si>
  <si>
    <t>IMP-012</t>
  </si>
  <si>
    <t>Railway, variables protegidas y despliegue</t>
  </si>
  <si>
    <t>Configurar y validar: Railway, variables protegidas y despliegue</t>
  </si>
  <si>
    <t>1) Diseñar Railway, variables protegidas y despliegue. 2) Configurar primero en pruebas sin exponer secretos. 3) Ejecutar prueba positiva, negativa y recuperación. 4) Documentar monitoreo y rollback. 5) Promover con aprobación.</t>
  </si>
  <si>
    <t>Railway, variables protegidas y despliegue: configuración, evidencia y acta</t>
  </si>
  <si>
    <t>Railway, variables protegidas y despliegue opera en pruebas y producción, sin secretos expuestos, con monitoreo y rollback verificado.</t>
  </si>
  <si>
    <t>Finalizar IMP-011</t>
  </si>
  <si>
    <t>IMP-013</t>
  </si>
  <si>
    <t>Dominio HTTPS, Cloudflare y Turnstile</t>
  </si>
  <si>
    <t>Configurar y validar: Dominio HTTPS, Cloudflare y Turnstile</t>
  </si>
  <si>
    <t>1) Diseñar Dominio HTTPS, Cloudflare y Turnstile. 2) Configurar primero en pruebas sin exponer secretos. 3) Ejecutar prueba positiva, negativa y recuperación. 4) Documentar monitoreo y rollback. 5) Promover con aprobación.</t>
  </si>
  <si>
    <t>Dominio HTTPS, Cloudflare y Turnstile: configuración, evidencia y acta</t>
  </si>
  <si>
    <t>Dominio HTTPS, Cloudflare y Turnstile opera en pruebas y producción, sin secretos expuestos, con monitoreo y rollback verificado.</t>
  </si>
  <si>
    <t>Finalizar IMP-012</t>
  </si>
  <si>
    <t>IMP-014</t>
  </si>
  <si>
    <t>SMTP y correo transaccional</t>
  </si>
  <si>
    <t>Configurar y validar: SMTP y correo transaccional</t>
  </si>
  <si>
    <t>1) Diseñar SMTP y correo transaccional. 2) Configurar primero en pruebas sin exponer secretos. 3) Ejecutar prueba positiva, negativa y recuperación. 4) Documentar monitoreo y rollback. 5) Promover con aprobación.</t>
  </si>
  <si>
    <t>SMTP y correo transaccional: configuración, evidencia y acta</t>
  </si>
  <si>
    <t>SMTP y correo transaccional opera en pruebas y producción, sin secretos expuestos, con monitoreo y rollback verificado.</t>
  </si>
  <si>
    <t>Finalizar IMP-013</t>
  </si>
  <si>
    <t>IMP-015</t>
  </si>
  <si>
    <t>URLs de autenticación y recuperación</t>
  </si>
  <si>
    <t>Configurar y validar: URLs de autenticación y recuperación</t>
  </si>
  <si>
    <t>1) Diseñar URLs de autenticación y recuperación. 2) Configurar primero en pruebas sin exponer secretos. 3) Ejecutar prueba positiva, negativa y recuperación. 4) Documentar monitoreo y rollback. 5) Promover con aprobación.</t>
  </si>
  <si>
    <t>URLs de autenticación y recuperación: configuración, evidencia y acta</t>
  </si>
  <si>
    <t>URLs de autenticación y recuperación opera en pruebas y producción, sin secretos expuestos, con monitoreo y rollback verificado.</t>
  </si>
  <si>
    <t>Finalizar IMP-014</t>
  </si>
  <si>
    <t>IMP-016</t>
  </si>
  <si>
    <t>Respaldos y restauración</t>
  </si>
  <si>
    <t>Configurar y validar: Respaldos y restauración</t>
  </si>
  <si>
    <t>1) Diseñar Respaldos y restauración. 2) Configurar primero en pruebas sin exponer secretos. 3) Ejecutar prueba positiva, negativa y recuperación. 4) Documentar monitoreo y rollback. 5) Promover con aprobación.</t>
  </si>
  <si>
    <t>Respaldos y restauración: configuración, evidencia y acta</t>
  </si>
  <si>
    <t>Respaldos y restauración opera en pruebas y producción, sin secretos expuestos, con monitoreo y rollback verificado.</t>
  </si>
  <si>
    <t>Finalizar IMP-015</t>
  </si>
  <si>
    <t>IMP-017</t>
  </si>
  <si>
    <t>Monitoreo, logs y alertas</t>
  </si>
  <si>
    <t>Configurar y validar: Monitoreo, logs y alertas</t>
  </si>
  <si>
    <t>1) Diseñar Monitoreo, logs y alertas. 2) Configurar primero en pruebas sin exponer secretos. 3) Ejecutar prueba positiva, negativa y recuperación. 4) Documentar monitoreo y rollback. 5) Promover con aprobación.</t>
  </si>
  <si>
    <t>Monitoreo, logs y alertas: configuración, evidencia y acta</t>
  </si>
  <si>
    <t>Monitoreo, logs y alertas opera en pruebas y producción, sin secretos expuestos, con monitoreo y rollback verificado.</t>
  </si>
  <si>
    <t>Finalizar IMP-016</t>
  </si>
  <si>
    <t>IMP-018</t>
  </si>
  <si>
    <t>Procedimiento de despliegue y rollback</t>
  </si>
  <si>
    <t>Configurar y validar: Procedimiento de despliegue y rollback</t>
  </si>
  <si>
    <t>1) Diseñar Procedimiento de despliegue y rollback. 2) Configurar primero en pruebas sin exponer secretos. 3) Ejecutar prueba positiva, negativa y recuperación. 4) Documentar monitoreo y rollback. 5) Promover con aprobación.</t>
  </si>
  <si>
    <t>Procedimiento de despliegue y rollback: configuración, evidencia y acta</t>
  </si>
  <si>
    <t>Procedimiento de despliegue y rollback opera en pruebas y producción, sin secretos expuestos, con monitoreo y rollback verificado.</t>
  </si>
  <si>
    <t>Finalizar IMP-017</t>
  </si>
  <si>
    <t>IMP-019</t>
  </si>
  <si>
    <t>2. Fundamentos y diseño</t>
  </si>
  <si>
    <t>Países e identificadores ISO</t>
  </si>
  <si>
    <t>Configurar y validar: Países e identificadores ISO</t>
  </si>
  <si>
    <t>1) Levantar política para Países e identificadores ISO. 2) Preparar datos. 3) Parametrizar por filial. 4) Probar escenario normal, excepción y multimoneda cuando aplique. 5) Conciliar impacto y aprobar.</t>
  </si>
  <si>
    <t>Países e identificadores ISO: configuración, evidencia y acta</t>
  </si>
  <si>
    <t>Países e identificadores ISO funciona de extremo a extremo y contabiliza correctamente.</t>
  </si>
  <si>
    <t>Líder funcional GENTIA</t>
  </si>
  <si>
    <t>Dueño de datos</t>
  </si>
  <si>
    <t>IMP-020</t>
  </si>
  <si>
    <t>Idiomas y zonas horarias</t>
  </si>
  <si>
    <t>Configurar y validar: Idiomas y zonas horarias</t>
  </si>
  <si>
    <t>1) Levantar política para Idiomas y zonas horarias. 2) Preparar datos. 3) Parametrizar por filial. 4) Probar escenario normal, excepción y multimoneda cuando aplique. 5) Conciliar impacto y aprobar.</t>
  </si>
  <si>
    <t>Idiomas y zonas horarias: configuración, evidencia y acta</t>
  </si>
  <si>
    <t>Idiomas y zonas horarias funciona de extremo a extremo y contabiliza correctamente.</t>
  </si>
  <si>
    <t>Finalizar IMP-019</t>
  </si>
  <si>
    <t>IMP-021</t>
  </si>
  <si>
    <t>Monedas y precisión cambiaria</t>
  </si>
  <si>
    <t>Configurar y validar: Monedas y precisión cambiaria</t>
  </si>
  <si>
    <t>1) Levantar política para Monedas y precisión cambiaria. 2) Preparar datos. 3) Parametrizar por filial. 4) Probar escenario normal, excepción y multimoneda cuando aplique. 5) Conciliar impacto y aprobar.</t>
  </si>
  <si>
    <t>Monedas y precisión cambiaria: configuración, evidencia y acta</t>
  </si>
  <si>
    <t>Monedas y precisión cambiaria funciona de extremo a extremo y contabiliza correctamente.</t>
  </si>
  <si>
    <t>Finalizar IMP-020</t>
  </si>
  <si>
    <t>IMP-022</t>
  </si>
  <si>
    <t>Estados maestros</t>
  </si>
  <si>
    <t>Configurar y validar: Estados maestros</t>
  </si>
  <si>
    <t>1) Levantar política para Estados maestros. 2) Preparar datos. 3) Parametrizar por filial. 4) Probar escenario normal, excepción y multimoneda cuando aplique. 5) Conciliar impacto y aprobar.</t>
  </si>
  <si>
    <t>Estados maestros: configuración, evidencia y acta</t>
  </si>
  <si>
    <t>Estados maestros funciona de extremo a extremo y contabiliza correctamente.</t>
  </si>
  <si>
    <t>Finalizar IMP-021</t>
  </si>
  <si>
    <t>IMP-023</t>
  </si>
  <si>
    <t>Tipos de transacción</t>
  </si>
  <si>
    <t>Configurar y validar: Tipos de transacción</t>
  </si>
  <si>
    <t>1) Levantar política para Tipos de transacción. 2) Preparar datos. 3) Parametrizar por filial. 4) Probar escenario normal, excepción y multimoneda cuando aplique. 5) Conciliar impacto y aprobar.</t>
  </si>
  <si>
    <t>Tipos de transacción: configuración, evidencia y acta</t>
  </si>
  <si>
    <t>Tipos de transacción funciona de extremo a extremo y contabiliza correctamente.</t>
  </si>
  <si>
    <t>Finalizar IMP-022</t>
  </si>
  <si>
    <t>IMP-024</t>
  </si>
  <si>
    <t>Secuencias por filial y transacción</t>
  </si>
  <si>
    <t>Configurar y validar: Secuencias por filial y transacción</t>
  </si>
  <si>
    <t>1) Levantar política para Secuencias por filial y transacción. 2) Preparar datos. 3) Parametrizar por filial. 4) Probar escenario normal, excepción y multimoneda cuando aplique. 5) Conciliar impacto y aprobar.</t>
  </si>
  <si>
    <t>Secuencias por filial y transacción: configuración, evidencia y acta</t>
  </si>
  <si>
    <t>Secuencias por filial y transacción funciona de extremo a extremo y contabiliza correctamente.</t>
  </si>
  <si>
    <t>Finalizar IMP-023</t>
  </si>
  <si>
    <t>IMP-025</t>
  </si>
  <si>
    <t>Prefijos, longitud y consecutivo inicial</t>
  </si>
  <si>
    <t>Configurar y validar: Prefijos, longitud y consecutivo inicial</t>
  </si>
  <si>
    <t>1) Levantar política para Prefijos, longitud y consecutivo inicial. 2) Preparar datos. 3) Parametrizar por filial. 4) Probar escenario normal, excepción y multimoneda cuando aplique. 5) Conciliar impacto y aprobar.</t>
  </si>
  <si>
    <t>Prefijos, longitud y consecutivo inicial: configuración, evidencia y acta</t>
  </si>
  <si>
    <t>Prefijos, longitud y consecutivo inicial funciona de extremo a extremo y contabiliza correctamente.</t>
  </si>
  <si>
    <t>Finalizar IMP-024</t>
  </si>
  <si>
    <t>IMP-026</t>
  </si>
  <si>
    <t>Parámetros globales</t>
  </si>
  <si>
    <t>Configurar y validar: Parámetros globales</t>
  </si>
  <si>
    <t>1) Levantar política para Parámetros globales. 2) Preparar datos. 3) Parametrizar por filial. 4) Probar escenario normal, excepción y multimoneda cuando aplique. 5) Conciliar impacto y aprobar.</t>
  </si>
  <si>
    <t>Parámetros globales: configuración, evidencia y acta</t>
  </si>
  <si>
    <t>Parámetros globales funciona de extremo a extremo y contabiliza correctamente.</t>
  </si>
  <si>
    <t>Finalizar IMP-025</t>
  </si>
  <si>
    <t>IMP-027</t>
  </si>
  <si>
    <t>Configuraciones por alcance</t>
  </si>
  <si>
    <t>Configurar y validar: Configuraciones por alcance</t>
  </si>
  <si>
    <t>1) Levantar política para Configuraciones por alcance. 2) Preparar datos. 3) Parametrizar por filial. 4) Probar escenario normal, excepción y multimoneda cuando aplique. 5) Conciliar impacto y aprobar.</t>
  </si>
  <si>
    <t>Configuraciones por alcance: configuración, evidencia y acta</t>
  </si>
  <si>
    <t>Configuraciones por alcance funciona de extremo a extremo y contabiliza correctamente.</t>
  </si>
  <si>
    <t>Finalizar IMP-026</t>
  </si>
  <si>
    <t>IMP-028</t>
  </si>
  <si>
    <t>Jerarquía de subsidiarias</t>
  </si>
  <si>
    <t>Configurar y validar: Jerarquía de subsidiarias</t>
  </si>
  <si>
    <t>1) Levantar política para Jerarquía de subsidiarias. 2) Preparar datos. 3) Parametrizar por filial. 4) Probar escenario normal, excepción y multimoneda cuando aplique. 5) Conciliar impacto y aprobar.</t>
  </si>
  <si>
    <t>Jerarquía de subsidiarias: configuración, evidencia y acta</t>
  </si>
  <si>
    <t>Jerarquía de subsidiarias funciona de extremo a extremo y contabiliza correctamente.</t>
  </si>
  <si>
    <t>Consultor funcional</t>
  </si>
  <si>
    <t>Contabilidad corporativa</t>
  </si>
  <si>
    <t>IMP-029</t>
  </si>
  <si>
    <t>Años y calendarios fiscales</t>
  </si>
  <si>
    <t>Configurar y validar: Años y calendarios fiscales</t>
  </si>
  <si>
    <t>1) Levantar política para Años y calendarios fiscales. 2) Preparar datos. 3) Parametrizar por filial. 4) Probar escenario normal, excepción y multimoneda cuando aplique. 5) Conciliar impacto y aprobar.</t>
  </si>
  <si>
    <t>Años y calendarios fiscales: configuración, evidencia y acta</t>
  </si>
  <si>
    <t>Años y calendarios fiscales funciona de extremo a extremo y contabiliza correctamente.</t>
  </si>
  <si>
    <t>Finalizar IMP-028</t>
  </si>
  <si>
    <t>IMP-030</t>
  </si>
  <si>
    <t>Períodos contables</t>
  </si>
  <si>
    <t>Configurar y validar: Períodos contables</t>
  </si>
  <si>
    <t>1) Levantar política para Períodos contables. 2) Preparar datos. 3) Parametrizar por filial. 4) Probar escenario normal, excepción y multimoneda cuando aplique. 5) Conciliar impacto y aprobar.</t>
  </si>
  <si>
    <t>Períodos contables: configuración, evidencia y acta</t>
  </si>
  <si>
    <t>Períodos contables funciona de extremo a extremo y contabiliza correctamente.</t>
  </si>
  <si>
    <t>Finalizar IMP-029</t>
  </si>
  <si>
    <t>IMP-031</t>
  </si>
  <si>
    <t>Moneda funcional y zona horaria por filial</t>
  </si>
  <si>
    <t>Configurar y validar: Moneda funcional y zona horaria por filial</t>
  </si>
  <si>
    <t>1) Levantar política para Moneda funcional y zona horaria por filial. 2) Preparar datos. 3) Parametrizar por filial. 4) Probar escenario normal, excepción y multimoneda cuando aplique. 5) Conciliar impacto y aprobar.</t>
  </si>
  <si>
    <t>Moneda funcional y zona horaria por filial: configuración, evidencia y acta</t>
  </si>
  <si>
    <t>Moneda funcional y zona horaria por filial funciona de extremo a extremo y contabiliza correctamente.</t>
  </si>
  <si>
    <t>Finalizar IMP-030</t>
  </si>
  <si>
    <t>IMP-032</t>
  </si>
  <si>
    <t>Sucursales y ubicaciones</t>
  </si>
  <si>
    <t>Configurar y validar: Sucursales y ubicaciones</t>
  </si>
  <si>
    <t>1) Levantar política para Sucursales y ubicaciones. 2) Preparar datos. 3) Parametrizar por filial. 4) Probar escenario normal, excepción y multimoneda cuando aplique. 5) Conciliar impacto y aprobar.</t>
  </si>
  <si>
    <t>Sucursales y ubicaciones: configuración, evidencia y acta</t>
  </si>
  <si>
    <t>Sucursales y ubicaciones funciona de extremo a extremo y contabiliza correctamente.</t>
  </si>
  <si>
    <t>Finalizar IMP-031</t>
  </si>
  <si>
    <t>IMP-033</t>
  </si>
  <si>
    <t>Tipos de departamento Cliente e Interno</t>
  </si>
  <si>
    <t>Configurar y validar: Tipos de departamento Cliente e Interno</t>
  </si>
  <si>
    <t>1) Levantar política para Tipos de departamento Cliente e Interno. 2) Preparar datos. 3) Parametrizar por filial. 4) Probar escenario normal, excepción y multimoneda cuando aplique. 5) Conciliar impacto y aprobar.</t>
  </si>
  <si>
    <t>Tipos de departamento Cliente e Interno: configuración, evidencia y acta</t>
  </si>
  <si>
    <t>Tipos de departamento Cliente e Interno funciona de extremo a extremo y contabiliza correctamente.</t>
  </si>
  <si>
    <t>Finalizar IMP-032</t>
  </si>
  <si>
    <t>IMP-034</t>
  </si>
  <si>
    <t>Departamentos y jerarquía</t>
  </si>
  <si>
    <t>Configurar y validar: Departamentos y jerarquía</t>
  </si>
  <si>
    <t>1) Levantar política para Departamentos y jerarquía. 2) Preparar datos. 3) Parametrizar por filial. 4) Probar escenario normal, excepción y multimoneda cuando aplique. 5) Conciliar impacto y aprobar.</t>
  </si>
  <si>
    <t>Departamentos y jerarquía: configuración, evidencia y acta</t>
  </si>
  <si>
    <t>Departamentos y jerarquía funciona de extremo a extremo y contabiliza correctamente.</t>
  </si>
  <si>
    <t>Finalizar IMP-033</t>
  </si>
  <si>
    <t>IMP-035</t>
  </si>
  <si>
    <t>Clases analíticas</t>
  </si>
  <si>
    <t>Configurar y validar: Clases analíticas</t>
  </si>
  <si>
    <t>1) Levantar política para Clases analíticas. 2) Preparar datos. 3) Parametrizar por filial. 4) Probar escenario normal, excepción y multimoneda cuando aplique. 5) Conciliar impacto y aprobar.</t>
  </si>
  <si>
    <t>Clases analíticas: configuración, evidencia y acta</t>
  </si>
  <si>
    <t>Clases analíticas funciona de extremo a extremo y contabiliza correctamente.</t>
  </si>
  <si>
    <t>Finalizar IMP-034</t>
  </si>
  <si>
    <t>IMP-036</t>
  </si>
  <si>
    <t>Centros de costos</t>
  </si>
  <si>
    <t>Configurar y validar: Centros de costos</t>
  </si>
  <si>
    <t>1) Levantar política para Centros de costos. 2) Preparar datos. 3) Parametrizar por filial. 4) Probar escenario normal, excepción y multimoneda cuando aplique. 5) Conciliar impacto y aprobar.</t>
  </si>
  <si>
    <t>Centros de costos: configuración, evidencia y acta</t>
  </si>
  <si>
    <t>Centros de costos funciona de extremo a extremo y contabiliza correctamente.</t>
  </si>
  <si>
    <t>Finalizar IMP-035</t>
  </si>
  <si>
    <t>IMP-037</t>
  </si>
  <si>
    <t>Acreedores financieros</t>
  </si>
  <si>
    <t>Configurar y validar: Acreedores financieros</t>
  </si>
  <si>
    <t>1) Levantar política para Acreedores financieros. 2) Preparar datos. 3) Parametrizar por filial. 4) Probar escenario normal, excepción y multimoneda cuando aplique. 5) Conciliar impacto y aprobar.</t>
  </si>
  <si>
    <t>Acreedores financieros: configuración, evidencia y acta</t>
  </si>
  <si>
    <t>Acreedores financieros funciona de extremo a extremo y contabiliza correctamente.</t>
  </si>
  <si>
    <t>Finalizar IMP-036</t>
  </si>
  <si>
    <t>IMP-038</t>
  </si>
  <si>
    <t>Compañías relacionadas</t>
  </si>
  <si>
    <t>Configurar y validar: Compañías relacionadas</t>
  </si>
  <si>
    <t>1) Levantar política para Compañías relacionadas. 2) Preparar datos. 3) Parametrizar por filial. 4) Probar escenario normal, excepción y multimoneda cuando aplique. 5) Conciliar impacto y aprobar.</t>
  </si>
  <si>
    <t>Compañías relacionadas: configuración, evidencia y acta</t>
  </si>
  <si>
    <t>Compañías relacionadas funciona de extremo a extremo y contabiliza correctamente.</t>
  </si>
  <si>
    <t>Finalizar IMP-037</t>
  </si>
  <si>
    <t>IMP-039</t>
  </si>
  <si>
    <t>Aprobadores por filial</t>
  </si>
  <si>
    <t>Configurar y validar: Aprobadores por filial</t>
  </si>
  <si>
    <t>1) Levantar política para Aprobadores por filial. 2) Preparar datos. 3) Parametrizar por filial. 4) Probar escenario normal, excepción y multimoneda cuando aplique. 5) Conciliar impacto y aprobar.</t>
  </si>
  <si>
    <t>Aprobadores por filial: configuración, evidencia y acta</t>
  </si>
  <si>
    <t>Aprobadores por filial funciona de extremo a extremo y contabiliza correctamente.</t>
  </si>
  <si>
    <t>Finalizar IMP-038</t>
  </si>
  <si>
    <t>IMP-040</t>
  </si>
  <si>
    <t>Obligatoriedad de dimensiones</t>
  </si>
  <si>
    <t>Configurar y validar: Obligatoriedad de dimensiones</t>
  </si>
  <si>
    <t>1) Levantar política para Obligatoriedad de dimensiones. 2) Preparar datos. 3) Parametrizar por filial. 4) Probar escenario normal, excepción y multimoneda cuando aplique. 5) Conciliar impacto y aprobar.</t>
  </si>
  <si>
    <t>Obligatoriedad de dimensiones: configuración, evidencia y acta</t>
  </si>
  <si>
    <t>Obligatoriedad de dimensiones funciona de extremo a extremo y contabiliza correctamente.</t>
  </si>
  <si>
    <t>Finalizar IMP-039</t>
  </si>
  <si>
    <t>IMP-041</t>
  </si>
  <si>
    <t>Usuarios e invitación segura</t>
  </si>
  <si>
    <t>Configurar y validar: Usuarios e invitación segura</t>
  </si>
  <si>
    <t>1) Definir regla y responsables de Usuarios e invitación segura. 2) Configurar permisos, trazabilidad y excepciones. 3) Probar caso autorizado y no autorizado. 4) Revisar bitácora. 5) Obtener conformidad de Control Interno.</t>
  </si>
  <si>
    <t>Usuarios e invitación segura: configuración, evidencia y acta</t>
  </si>
  <si>
    <t>Usuarios e invitación segura permite solo acciones autorizadas y registra actor, fecha y resultado.</t>
  </si>
  <si>
    <t>Administrador de seguridad</t>
  </si>
  <si>
    <t>TI / Auditoría</t>
  </si>
  <si>
    <t>IMP-042</t>
  </si>
  <si>
    <t>Roles corporativos y locales</t>
  </si>
  <si>
    <t>Configurar y validar: Roles corporativos y locales</t>
  </si>
  <si>
    <t>1) Definir regla y responsables de Roles corporativos y locales. 2) Configurar permisos, trazabilidad y excepciones. 3) Probar caso autorizado y no autorizado. 4) Revisar bitácora. 5) Obtener conformidad de Control Interno.</t>
  </si>
  <si>
    <t>Roles corporativos y locales: configuración, evidencia y acta</t>
  </si>
  <si>
    <t>Roles corporativos y locales permite solo acciones autorizadas y registra actor, fecha y resultado.</t>
  </si>
  <si>
    <t>Finalizar IMP-041</t>
  </si>
  <si>
    <t>IMP-043</t>
  </si>
  <si>
    <t>Permisos Ver Crear Editar Eliminar</t>
  </si>
  <si>
    <t>Configurar y validar: Permisos Ver Crear Editar Eliminar</t>
  </si>
  <si>
    <t>1) Definir regla y responsables de Permisos Ver Crear Editar Eliminar. 2) Configurar permisos, trazabilidad y excepciones. 3) Probar caso autorizado y no autorizado. 4) Revisar bitácora. 5) Obtener conformidad de Control Interno.</t>
  </si>
  <si>
    <t>Permisos Ver Crear Editar Eliminar: configuración, evidencia y acta</t>
  </si>
  <si>
    <t>Permisos Ver Crear Editar Eliminar permite solo acciones autorizadas y registra actor, fecha y resultado.</t>
  </si>
  <si>
    <t>Finalizar IMP-042</t>
  </si>
  <si>
    <t>IMP-044</t>
  </si>
  <si>
    <t>Roles por usuario</t>
  </si>
  <si>
    <t>Configurar y validar: Roles por usuario</t>
  </si>
  <si>
    <t>1) Definir regla y responsables de Roles por usuario. 2) Configurar permisos, trazabilidad y excepciones. 3) Probar caso autorizado y no autorizado. 4) Revisar bitácora. 5) Obtener conformidad de Control Interno.</t>
  </si>
  <si>
    <t>Roles por usuario: configuración, evidencia y acta</t>
  </si>
  <si>
    <t>Roles por usuario permite solo acciones autorizadas y registra actor, fecha y resultado.</t>
  </si>
  <si>
    <t>Finalizar IMP-043</t>
  </si>
  <si>
    <t>IMP-045</t>
  </si>
  <si>
    <t>Empresas por usuario</t>
  </si>
  <si>
    <t>Configurar y validar: Empresas por usuario</t>
  </si>
  <si>
    <t>1) Definir regla y responsables de Empresas por usuario. 2) Configurar permisos, trazabilidad y excepciones. 3) Probar caso autorizado y no autorizado. 4) Revisar bitácora. 5) Obtener conformidad de Control Interno.</t>
  </si>
  <si>
    <t>Empresas por usuario: configuración, evidencia y acta</t>
  </si>
  <si>
    <t>Empresas por usuario permite solo acciones autorizadas y registra actor, fecha y resultado.</t>
  </si>
  <si>
    <t>Finalizar IMP-044</t>
  </si>
  <si>
    <t>IMP-046</t>
  </si>
  <si>
    <t>Segregación de funciones</t>
  </si>
  <si>
    <t>Configurar y validar: Segregación de funciones</t>
  </si>
  <si>
    <t>1) Definir regla y responsables de Segregación de funciones. 2) Configurar permisos, trazabilidad y excepciones. 3) Probar caso autorizado y no autorizado. 4) Revisar bitácora. 5) Obtener conformidad de Control Interno.</t>
  </si>
  <si>
    <t>Segregación de funciones: configuración, evidencia y acta</t>
  </si>
  <si>
    <t>Segregación de funciones permite solo acciones autorizadas y registra actor, fecha y resultado.</t>
  </si>
  <si>
    <t>Finalizar IMP-045</t>
  </si>
  <si>
    <t>IMP-047</t>
  </si>
  <si>
    <t>Cambio y recuperación de contraseña</t>
  </si>
  <si>
    <t>Configurar y validar: Cambio y recuperación de contraseña</t>
  </si>
  <si>
    <t>1) Definir regla y responsables de Cambio y recuperación de contraseña. 2) Configurar permisos, trazabilidad y excepciones. 3) Probar caso autorizado y no autorizado. 4) Revisar bitácora. 5) Obtener conformidad de Control Interno.</t>
  </si>
  <si>
    <t>Cambio y recuperación de contraseña: configuración, evidencia y acta</t>
  </si>
  <si>
    <t>Cambio y recuperación de contraseña permite solo acciones autorizadas y registra actor, fecha y resultado.</t>
  </si>
  <si>
    <t>Finalizar IMP-046</t>
  </si>
  <si>
    <t>IMP-048</t>
  </si>
  <si>
    <t>Sesiones y dispositivos</t>
  </si>
  <si>
    <t>Configurar y validar: Sesiones y dispositivos</t>
  </si>
  <si>
    <t>1) Definir regla y responsables de Sesiones y dispositivos. 2) Configurar permisos, trazabilidad y excepciones. 3) Probar caso autorizado y no autorizado. 4) Revisar bitácora. 5) Obtener conformidad de Control Interno.</t>
  </si>
  <si>
    <t>Sesiones y dispositivos: configuración, evidencia y acta</t>
  </si>
  <si>
    <t>Sesiones y dispositivos permite solo acciones autorizadas y registra actor, fecha y resultado.</t>
  </si>
  <si>
    <t>Finalizar IMP-047</t>
  </si>
  <si>
    <t>IMP-049</t>
  </si>
  <si>
    <t>Historial de acceso</t>
  </si>
  <si>
    <t>Configurar y validar: Historial de acceso</t>
  </si>
  <si>
    <t>1) Definir regla y responsables de Historial de acceso. 2) Configurar permisos, trazabilidad y excepciones. 3) Probar caso autorizado y no autorizado. 4) Revisar bitácora. 5) Obtener conformidad de Control Interno.</t>
  </si>
  <si>
    <t>Historial de acceso: configuración, evidencia y acta</t>
  </si>
  <si>
    <t>Historial de acceso permite solo acciones autorizadas y registra actor, fecha y resultado.</t>
  </si>
  <si>
    <t>Finalizar IMP-048</t>
  </si>
  <si>
    <t>IMP-050</t>
  </si>
  <si>
    <t>Menús y permisos</t>
  </si>
  <si>
    <t>Configurar y validar: Menús y permisos</t>
  </si>
  <si>
    <t>1) Definir regla y responsables de Menús y permisos. 2) Configurar permisos, trazabilidad y excepciones. 3) Probar caso autorizado y no autorizado. 4) Revisar bitácora. 5) Obtener conformidad de Control Interno.</t>
  </si>
  <si>
    <t>Menús y permisos: configuración, evidencia y acta</t>
  </si>
  <si>
    <t>Menús y permisos permite solo acciones autorizadas y registra actor, fecha y resultado.</t>
  </si>
  <si>
    <t>Finalizar IMP-049</t>
  </si>
  <si>
    <t>IMP-051</t>
  </si>
  <si>
    <t>3. Configuración funcional</t>
  </si>
  <si>
    <t>Términos de pago</t>
  </si>
  <si>
    <t>Configurar y validar: Términos de pago</t>
  </si>
  <si>
    <t>1) Levantar política para Términos de pago. 2) Preparar datos. 3) Parametrizar por filial. 4) Probar escenario normal, excepción y multimoneda cuando aplique. 5) Conciliar impacto y aprobar.</t>
  </si>
  <si>
    <t>Términos de pago: configuración, evidencia y acta</t>
  </si>
  <si>
    <t>Términos de pago funciona de extremo a extremo y contabiliza correctamente.</t>
  </si>
  <si>
    <t>Contabilidad / Impuestos</t>
  </si>
  <si>
    <t>IMP-052</t>
  </si>
  <si>
    <t>Métodos de pago</t>
  </si>
  <si>
    <t>Configurar y validar: Métodos de pago</t>
  </si>
  <si>
    <t>1) Levantar política para Métodos de pago. 2) Preparar datos. 3) Parametrizar por filial. 4) Probar escenario normal, excepción y multimoneda cuando aplique. 5) Conciliar impacto y aprobar.</t>
  </si>
  <si>
    <t>Métodos de pago: configuración, evidencia y acta</t>
  </si>
  <si>
    <t>Métodos de pago funciona de extremo a extremo y contabiliza correctamente.</t>
  </si>
  <si>
    <t>Finalizar IMP-051</t>
  </si>
  <si>
    <t>IMP-053</t>
  </si>
  <si>
    <t>Unidades de medida</t>
  </si>
  <si>
    <t>Configurar y validar: Unidades de medida</t>
  </si>
  <si>
    <t>1) Levantar política para Unidades de medida. 2) Preparar datos. 3) Parametrizar por filial. 4) Probar escenario normal, excepción y multimoneda cuando aplique. 5) Conciliar impacto y aprobar.</t>
  </si>
  <si>
    <t>Unidades de medida: configuración, evidencia y acta</t>
  </si>
  <si>
    <t>Unidades de medida funciona de extremo a extremo y contabiliza correctamente.</t>
  </si>
  <si>
    <t>Finalizar IMP-052</t>
  </si>
  <si>
    <t>IMP-054</t>
  </si>
  <si>
    <t>Tipos, códigos y grupos de impuestos</t>
  </si>
  <si>
    <t>Configurar y validar: Tipos, códigos y grupos de impuestos</t>
  </si>
  <si>
    <t>1) Levantar política para Tipos, códigos y grupos de impuestos. 2) Preparar datos. 3) Parametrizar por filial. 4) Probar escenario normal, excepción y multimoneda cuando aplique. 5) Conciliar impacto y aprobar.</t>
  </si>
  <si>
    <t>Tipos, códigos y grupos de impuestos: configuración, evidencia y acta</t>
  </si>
  <si>
    <t>Tipos, códigos y grupos de impuestos funciona de extremo a extremo y contabiliza correctamente.</t>
  </si>
  <si>
    <t>Finalizar IMP-053</t>
  </si>
  <si>
    <t>IMP-055</t>
  </si>
  <si>
    <t>Retenciones y autorretenciones</t>
  </si>
  <si>
    <t>Configurar y validar: Retenciones y autorretenciones</t>
  </si>
  <si>
    <t>1) Levantar política para Retenciones y autorretenciones. 2) Preparar datos. 3) Parametrizar por filial. 4) Probar escenario normal, excepción y multimoneda cuando aplique. 5) Conciliar impacto y aprobar.</t>
  </si>
  <si>
    <t>Retenciones y autorretenciones: configuración, evidencia y acta</t>
  </si>
  <si>
    <t>Retenciones y autorretenciones funciona de extremo a extremo y contabiliza correctamente.</t>
  </si>
  <si>
    <t>Finalizar IMP-054</t>
  </si>
  <si>
    <t>IMP-056</t>
  </si>
  <si>
    <t>Agencias tributarias por filial</t>
  </si>
  <si>
    <t>Configurar y validar: Agencias tributarias por filial</t>
  </si>
  <si>
    <t>1) Levantar política para Agencias tributarias por filial. 2) Preparar datos. 3) Parametrizar por filial. 4) Probar escenario normal, excepción y multimoneda cuando aplique. 5) Conciliar impacto y aprobar.</t>
  </si>
  <si>
    <t>Agencias tributarias por filial: configuración, evidencia y acta</t>
  </si>
  <si>
    <t>Agencias tributarias por filial funciona de extremo a extremo y contabiliza correctamente.</t>
  </si>
  <si>
    <t>Finalizar IMP-055</t>
  </si>
  <si>
    <t>IMP-057</t>
  </si>
  <si>
    <t>Series y tipos documentales</t>
  </si>
  <si>
    <t>Configurar y validar: Series y tipos documentales</t>
  </si>
  <si>
    <t>1) Levantar política para Series y tipos documentales. 2) Preparar datos. 3) Parametrizar por filial. 4) Probar escenario normal, excepción y multimoneda cuando aplique. 5) Conciliar impacto y aprobar.</t>
  </si>
  <si>
    <t>Series y tipos documentales: configuración, evidencia y acta</t>
  </si>
  <si>
    <t>Series y tipos documentales funciona de extremo a extremo y contabiliza correctamente.</t>
  </si>
  <si>
    <t>Finalizar IMP-056</t>
  </si>
  <si>
    <t>IMP-058</t>
  </si>
  <si>
    <t>Días feriados</t>
  </si>
  <si>
    <t>Configurar y validar: Días feriados</t>
  </si>
  <si>
    <t>1) Levantar política para Días feriados. 2) Preparar datos. 3) Parametrizar por filial. 4) Probar escenario normal, excepción y multimoneda cuando aplique. 5) Conciliar impacto y aprobar.</t>
  </si>
  <si>
    <t>Días feriados: configuración, evidencia y acta</t>
  </si>
  <si>
    <t>Días feriados funciona de extremo a extremo y contabiliza correctamente.</t>
  </si>
  <si>
    <t>Finalizar IMP-057</t>
  </si>
  <si>
    <t>IMP-059</t>
  </si>
  <si>
    <t>Tipos de cambio diarios</t>
  </si>
  <si>
    <t>Configurar y validar: Tipos de cambio diarios</t>
  </si>
  <si>
    <t>1) Levantar política para Tipos de cambio diarios. 2) Preparar datos. 3) Parametrizar por filial. 4) Probar escenario normal, excepción y multimoneda cuando aplique. 5) Conciliar impacto y aprobar.</t>
  </si>
  <si>
    <t>Tipos de cambio diarios: configuración, evidencia y acta</t>
  </si>
  <si>
    <t>Tipos de cambio diarios funciona de extremo a extremo y contabiliza correctamente.</t>
  </si>
  <si>
    <t>Finalizar IMP-058</t>
  </si>
  <si>
    <t>IMP-060</t>
  </si>
  <si>
    <t>Tasas consolidadas</t>
  </si>
  <si>
    <t>Configurar y validar: Tasas consolidadas</t>
  </si>
  <si>
    <t>1) Levantar política para Tasas consolidadas. 2) Preparar datos. 3) Parametrizar por filial. 4) Probar escenario normal, excepción y multimoneda cuando aplique. 5) Conciliar impacto y aprobar.</t>
  </si>
  <si>
    <t>Tasas consolidadas: configuración, evidencia y acta</t>
  </si>
  <si>
    <t>Tasas consolidadas funciona de extremo a extremo y contabiliza correctamente.</t>
  </si>
  <si>
    <t>Finalizar IMP-059</t>
  </si>
  <si>
    <t>IMP-061</t>
  </si>
  <si>
    <t>Fuentes y tolerancias de tasa</t>
  </si>
  <si>
    <t>Configurar y validar: Fuentes y tolerancias de tasa</t>
  </si>
  <si>
    <t>1) Levantar política para Fuentes y tolerancias de tasa. 2) Preparar datos. 3) Parametrizar por filial. 4) Probar escenario normal, excepción y multimoneda cuando aplique. 5) Conciliar impacto y aprobar.</t>
  </si>
  <si>
    <t>Fuentes y tolerancias de tasa: configuración, evidencia y acta</t>
  </si>
  <si>
    <t>Fuentes y tolerancias de tasa funciona de extremo a extremo y contabiliza correctamente.</t>
  </si>
  <si>
    <t>Finalizar IMP-060</t>
  </si>
  <si>
    <t>IMP-062</t>
  </si>
  <si>
    <t>Plantillas de notificación</t>
  </si>
  <si>
    <t>Configurar y validar: Plantillas de notificación</t>
  </si>
  <si>
    <t>1) Levantar política para Plantillas de notificación. 2) Preparar datos. 3) Parametrizar por filial. 4) Probar escenario normal, excepción y multimoneda cuando aplique. 5) Conciliar impacto y aprobar.</t>
  </si>
  <si>
    <t>Plantillas de notificación: configuración, evidencia y acta</t>
  </si>
  <si>
    <t>Plantillas de notificación funciona de extremo a extremo y contabiliza correctamente.</t>
  </si>
  <si>
    <t>Finalizar IMP-061</t>
  </si>
  <si>
    <t>IMP-063</t>
  </si>
  <si>
    <t>Mantenimiento de aprobadores UP</t>
  </si>
  <si>
    <t>Configurar y validar: Mantenimiento de aprobadores UP</t>
  </si>
  <si>
    <t>1) Levantar política para Mantenimiento de aprobadores UP. 2) Preparar datos. 3) Parametrizar por filial. 4) Probar escenario normal, excepción y multimoneda cuando aplique. 5) Conciliar impacto y aprobar.</t>
  </si>
  <si>
    <t>Mantenimiento de aprobadores UP: configuración, evidencia y acta</t>
  </si>
  <si>
    <t>Mantenimiento de aprobadores UP funciona de extremo a extremo y contabiliza correctamente.</t>
  </si>
  <si>
    <t>Finalizar IMP-062</t>
  </si>
  <si>
    <t>IMP-064</t>
  </si>
  <si>
    <t>Libros local y fiscal</t>
  </si>
  <si>
    <t>Configurar y validar: Libros local y fiscal</t>
  </si>
  <si>
    <t>1) Levantar política para Libros local y fiscal. 2) Preparar datos. 3) Parametrizar por filial. 4) Probar escenario normal, excepción y multimoneda cuando aplique. 5) Conciliar impacto y aprobar.</t>
  </si>
  <si>
    <t>Libros local y fiscal: configuración, evidencia y acta</t>
  </si>
  <si>
    <t>Libros local y fiscal funciona de extremo a extremo y contabiliza correctamente.</t>
  </si>
  <si>
    <t>IMP-065</t>
  </si>
  <si>
    <t>Grupos del plan de cuentas</t>
  </si>
  <si>
    <t>Configurar y validar: Grupos del plan de cuentas</t>
  </si>
  <si>
    <t>1) Levantar política para Grupos del plan de cuentas. 2) Preparar datos. 3) Parametrizar por filial. 4) Probar escenario normal, excepción y multimoneda cuando aplique. 5) Conciliar impacto y aprobar.</t>
  </si>
  <si>
    <t>Grupos del plan de cuentas: configuración, evidencia y acta</t>
  </si>
  <si>
    <t>Grupos del plan de cuentas funciona de extremo a extremo y contabiliza correctamente.</t>
  </si>
  <si>
    <t>Finalizar IMP-064</t>
  </si>
  <si>
    <t>IMP-066</t>
  </si>
  <si>
    <t>Plan de cuentas por filial</t>
  </si>
  <si>
    <t>Configurar y validar: Plan de cuentas por filial</t>
  </si>
  <si>
    <t>1) Levantar política para Plan de cuentas por filial. 2) Preparar datos. 3) Parametrizar por filial. 4) Probar escenario normal, excepción y multimoneda cuando aplique. 5) Conciliar impacto y aprobar.</t>
  </si>
  <si>
    <t>Plan de cuentas por filial: configuración, evidencia y acta</t>
  </si>
  <si>
    <t>Plan de cuentas por filial funciona de extremo a extremo y contabiliza correctamente.</t>
  </si>
  <si>
    <t>Finalizar IMP-065</t>
  </si>
  <si>
    <t>IMP-067</t>
  </si>
  <si>
    <t>Naturaleza, moneda y revaluación por cuenta</t>
  </si>
  <si>
    <t>Configurar y validar: Naturaleza, moneda y revaluación por cuenta</t>
  </si>
  <si>
    <t>1) Levantar política para Naturaleza, moneda y revaluación por cuenta. 2) Preparar datos. 3) Parametrizar por filial. 4) Probar escenario normal, excepción y multimoneda cuando aplique. 5) Conciliar impacto y aprobar.</t>
  </si>
  <si>
    <t>Naturaleza, moneda y revaluación por cuenta: configuración, evidencia y acta</t>
  </si>
  <si>
    <t>Naturaleza, moneda y revaluación por cuenta funciona de extremo a extremo y contabiliza correctamente.</t>
  </si>
  <si>
    <t>Finalizar IMP-066</t>
  </si>
  <si>
    <t>IMP-068</t>
  </si>
  <si>
    <t>Dimensiones y excepciones financieras</t>
  </si>
  <si>
    <t>Configurar y validar: Dimensiones y excepciones financieras</t>
  </si>
  <si>
    <t>1) Levantar política para Dimensiones y excepciones financieras. 2) Preparar datos. 3) Parametrizar por filial. 4) Probar escenario normal, excepción y multimoneda cuando aplique. 5) Conciliar impacto y aprobar.</t>
  </si>
  <si>
    <t>Dimensiones y excepciones financieras: configuración, evidencia y acta</t>
  </si>
  <si>
    <t>Dimensiones y excepciones financieras funciona de extremo a extremo y contabiliza correctamente.</t>
  </si>
  <si>
    <t>Finalizar IMP-067</t>
  </si>
  <si>
    <t>IMP-069</t>
  </si>
  <si>
    <t>Actividad de flujo de efectivo</t>
  </si>
  <si>
    <t>Configurar y validar: Actividad de flujo de efectivo</t>
  </si>
  <si>
    <t>1) Levantar política para Actividad de flujo de efectivo. 2) Preparar datos. 3) Parametrizar por filial. 4) Probar escenario normal, excepción y multimoneda cuando aplique. 5) Conciliar impacto y aprobar.</t>
  </si>
  <si>
    <t>Actividad de flujo de efectivo: configuración, evidencia y acta</t>
  </si>
  <si>
    <t>Actividad de flujo de efectivo funciona de extremo a extremo y contabiliza correctamente.</t>
  </si>
  <si>
    <t>Finalizar IMP-068</t>
  </si>
  <si>
    <t>IMP-070</t>
  </si>
  <si>
    <t>Cuentas de control CxC y CxP</t>
  </si>
  <si>
    <t>Configurar y validar: Cuentas de control CxC y CxP</t>
  </si>
  <si>
    <t>1) Levantar política para Cuentas de control CxC y CxP. 2) Preparar datos. 3) Parametrizar por filial. 4) Probar escenario normal, excepción y multimoneda cuando aplique. 5) Conciliar impacto y aprobar.</t>
  </si>
  <si>
    <t>Cuentas de control CxC y CxP: configuración, evidencia y acta</t>
  </si>
  <si>
    <t>Cuentas de control CxC y CxP funciona de extremo a extremo y contabiliza correctamente.</t>
  </si>
  <si>
    <t>Finalizar IMP-069</t>
  </si>
  <si>
    <t>IMP-071</t>
  </si>
  <si>
    <t>Cuentas intercompany Expense y Caja Chica</t>
  </si>
  <si>
    <t>Configurar y validar: Cuentas intercompany Expense y Caja Chica</t>
  </si>
  <si>
    <t>1) Levantar política para Cuentas intercompany Expense y Caja Chica. 2) Preparar datos. 3) Parametrizar por filial. 4) Probar escenario normal, excepción y multimoneda cuando aplique. 5) Conciliar impacto y aprobar.</t>
  </si>
  <si>
    <t>Cuentas intercompany Expense y Caja Chica: configuración, evidencia y acta</t>
  </si>
  <si>
    <t>Cuentas intercompany Expense y Caja Chica funciona de extremo a extremo y contabiliza correctamente.</t>
  </si>
  <si>
    <t>Finalizar IMP-070</t>
  </si>
  <si>
    <t>IMP-072</t>
  </si>
  <si>
    <t>Cuentas bancarias anticipos e impuestos</t>
  </si>
  <si>
    <t>Configurar y validar: Cuentas bancarias anticipos e impuestos</t>
  </si>
  <si>
    <t>1) Levantar política para Cuentas bancarias anticipos e impuestos. 2) Preparar datos. 3) Parametrizar por filial. 4) Probar escenario normal, excepción y multimoneda cuando aplique. 5) Conciliar impacto y aprobar.</t>
  </si>
  <si>
    <t>Cuentas bancarias anticipos e impuestos: configuración, evidencia y acta</t>
  </si>
  <si>
    <t>Cuentas bancarias anticipos e impuestos funciona de extremo a extremo y contabiliza correctamente.</t>
  </si>
  <si>
    <t>Finalizar IMP-071</t>
  </si>
  <si>
    <t>IMP-073</t>
  </si>
  <si>
    <t>Reglas de asignación contable</t>
  </si>
  <si>
    <t>Configurar y validar: Reglas de asignación contable</t>
  </si>
  <si>
    <t>1) Levantar política para Reglas de asignación contable. 2) Preparar datos. 3) Parametrizar por filial. 4) Probar escenario normal, excepción y multimoneda cuando aplique. 5) Conciliar impacto y aprobar.</t>
  </si>
  <si>
    <t>Reglas de asignación contable: configuración, evidencia y acta</t>
  </si>
  <si>
    <t>Reglas de asignación contable funciona de extremo a extremo y contabiliza correctamente.</t>
  </si>
  <si>
    <t>Finalizar IMP-072</t>
  </si>
  <si>
    <t>IMP-074</t>
  </si>
  <si>
    <t>Asientos manuales y recurrentes</t>
  </si>
  <si>
    <t>Configurar y validar: Asientos manuales y recurrentes</t>
  </si>
  <si>
    <t>1) Levantar política para Asientos manuales y recurrentes. 2) Preparar datos. 3) Parametrizar por filial. 4) Probar escenario normal, excepción y multimoneda cuando aplique. 5) Conciliar impacto y aprobar.</t>
  </si>
  <si>
    <t>Asientos manuales y recurrentes: configuración, evidencia y acta</t>
  </si>
  <si>
    <t>Asientos manuales y recurrentes funciona de extremo a extremo y contabiliza correctamente.</t>
  </si>
  <si>
    <t>Finalizar IMP-073</t>
  </si>
  <si>
    <t>IMP-075</t>
  </si>
  <si>
    <t>Importación masiva de asientos</t>
  </si>
  <si>
    <t>Configurar y validar: Importación masiva de asientos</t>
  </si>
  <si>
    <t>1) Levantar política para Importación masiva de asientos. 2) Preparar datos. 3) Parametrizar por filial. 4) Probar escenario normal, excepción y multimoneda cuando aplique. 5) Conciliar impacto y aprobar.</t>
  </si>
  <si>
    <t>Importación masiva de asientos: configuración, evidencia y acta</t>
  </si>
  <si>
    <t>Importación masiva de asientos funciona de extremo a extremo y contabiliza correctamente.</t>
  </si>
  <si>
    <t>Finalizar IMP-074</t>
  </si>
  <si>
    <t>IMP-076</t>
  </si>
  <si>
    <t>ASI_NOM ASI_LIQ ASI_DIA y mes de servicio</t>
  </si>
  <si>
    <t>Configurar y validar: ASI_NOM ASI_LIQ ASI_DIA y mes de servicio</t>
  </si>
  <si>
    <t>1) Levantar política para ASI_NOM ASI_LIQ ASI_DIA y mes de servicio. 2) Preparar datos. 3) Parametrizar por filial. 4) Probar escenario normal, excepción y multimoneda cuando aplique. 5) Conciliar impacto y aprobar.</t>
  </si>
  <si>
    <t>ASI_NOM ASI_LIQ ASI_DIA y mes de servicio: configuración, evidencia y acta</t>
  </si>
  <si>
    <t>ASI_NOM ASI_LIQ ASI_DIA y mes de servicio funciona de extremo a extremo y contabiliza correctamente.</t>
  </si>
  <si>
    <t>Finalizar IMP-075</t>
  </si>
  <si>
    <t>IMP-077</t>
  </si>
  <si>
    <t>Presupuestos</t>
  </si>
  <si>
    <t>Configurar y validar: Presupuestos</t>
  </si>
  <si>
    <t>1) Levantar política para Presupuestos. 2) Preparar datos. 3) Parametrizar por filial. 4) Probar escenario normal, excepción y multimoneda cuando aplique. 5) Conciliar impacto y aprobar.</t>
  </si>
  <si>
    <t>Presupuestos: configuración, evidencia y acta</t>
  </si>
  <si>
    <t>Presupuestos funciona de extremo a extremo y contabiliza correctamente.</t>
  </si>
  <si>
    <t>Finalizar IMP-076</t>
  </si>
  <si>
    <t>IMP-078</t>
  </si>
  <si>
    <t>Cierre y reapertura</t>
  </si>
  <si>
    <t>Configurar y validar: Cierre y reapertura</t>
  </si>
  <si>
    <t>1) Levantar política para Cierre y reapertura. 2) Preparar datos. 3) Parametrizar por filial. 4) Probar escenario normal, excepción y multimoneda cuando aplique. 5) Conciliar impacto y aprobar.</t>
  </si>
  <si>
    <t>Cierre y reapertura: configuración, evidencia y acta</t>
  </si>
  <si>
    <t>Cierre y reapertura funciona de extremo a extremo y contabiliza correctamente.</t>
  </si>
  <si>
    <t>Finalizar IMP-077</t>
  </si>
  <si>
    <t>IMP-079</t>
  </si>
  <si>
    <t>Revaluación de moneda extranjera</t>
  </si>
  <si>
    <t>Configurar y validar: Revaluación de moneda extranjera</t>
  </si>
  <si>
    <t>1) Levantar política para Revaluación de moneda extranjera. 2) Preparar datos. 3) Parametrizar por filial. 4) Probar escenario normal, excepción y multimoneda cuando aplique. 5) Conciliar impacto y aprobar.</t>
  </si>
  <si>
    <t>Revaluación de moneda extranjera: configuración, evidencia y acta</t>
  </si>
  <si>
    <t>Revaluación de moneda extranjera funciona de extremo a extremo y contabiliza correctamente.</t>
  </si>
  <si>
    <t>Finalizar IMP-078</t>
  </si>
  <si>
    <t>IMP-080</t>
  </si>
  <si>
    <t>1) Diseñar Tipos de transacción. 2) Configurar primero en pruebas sin exponer secretos. 3) Ejecutar prueba positiva, negativa y recuperación. 4) Documentar monitoreo y rollback. 5) Promover con aprobación.</t>
  </si>
  <si>
    <t>Tipos de transacción opera en pruebas y producción, sin secretos expuestos, con monitoreo y rollback verificado.</t>
  </si>
  <si>
    <t>IMP-081</t>
  </si>
  <si>
    <t>Encabezados y líneas</t>
  </si>
  <si>
    <t>Configurar y validar: Encabezados y líneas</t>
  </si>
  <si>
    <t>1) Diseñar Encabezados y líneas. 2) Configurar primero en pruebas sin exponer secretos. 3) Ejecutar prueba positiva, negativa y recuperación. 4) Documentar monitoreo y rollback. 5) Promover con aprobación.</t>
  </si>
  <si>
    <t>Encabezados y líneas: configuración, evidencia y acta</t>
  </si>
  <si>
    <t>Encabezados y líneas opera en pruebas y producción, sin secretos expuestos, con monitoreo y rollback verificado.</t>
  </si>
  <si>
    <t>Finalizar IMP-080</t>
  </si>
  <si>
    <t>IMP-082</t>
  </si>
  <si>
    <t>Dimensiones transaccionales</t>
  </si>
  <si>
    <t>Configurar y validar: Dimensiones transaccionales</t>
  </si>
  <si>
    <t>1) Diseñar Dimensiones transaccionales. 2) Configurar primero en pruebas sin exponer secretos. 3) Ejecutar prueba positiva, negativa y recuperación. 4) Documentar monitoreo y rollback. 5) Promover con aprobación.</t>
  </si>
  <si>
    <t>Dimensiones transaccionales: configuración, evidencia y acta</t>
  </si>
  <si>
    <t>Dimensiones transaccionales opera en pruebas y producción, sin secretos expuestos, con monitoreo y rollback verificado.</t>
  </si>
  <si>
    <t>Finalizar IMP-081</t>
  </si>
  <si>
    <t>IMP-083</t>
  </si>
  <si>
    <t>Impactos contables</t>
  </si>
  <si>
    <t>Configurar y validar: Impactos contables</t>
  </si>
  <si>
    <t>1) Diseñar Impactos contables. 2) Configurar primero en pruebas sin exponer secretos. 3) Ejecutar prueba positiva, negativa y recuperación. 4) Documentar monitoreo y rollback. 5) Promover con aprobación.</t>
  </si>
  <si>
    <t>Impactos contables: configuración, evidencia y acta</t>
  </si>
  <si>
    <t>Impactos contables opera en pruebas y producción, sin secretos expuestos, con monitoreo y rollback verificado.</t>
  </si>
  <si>
    <t>Finalizar IMP-082</t>
  </si>
  <si>
    <t>IMP-084</t>
  </si>
  <si>
    <t>Reglas de débito y crédito</t>
  </si>
  <si>
    <t>Configurar y validar: Reglas de débito y crédito</t>
  </si>
  <si>
    <t>1) Diseñar Reglas de débito y crédito. 2) Configurar primero en pruebas sin exponer secretos. 3) Ejecutar prueba positiva, negativa y recuperación. 4) Documentar monitoreo y rollback. 5) Promover con aprobación.</t>
  </si>
  <si>
    <t>Reglas de débito y crédito: configuración, evidencia y acta</t>
  </si>
  <si>
    <t>Reglas de débito y crédito opera en pruebas y producción, sin secretos expuestos, con monitoreo y rollback verificado.</t>
  </si>
  <si>
    <t>Finalizar IMP-083</t>
  </si>
  <si>
    <t>IMP-085</t>
  </si>
  <si>
    <t>Idempotencia</t>
  </si>
  <si>
    <t>Configurar y validar: Idempotencia</t>
  </si>
  <si>
    <t>1) Diseñar Idempotencia. 2) Configurar primero en pruebas sin exponer secretos. 3) Ejecutar prueba positiva, negativa y recuperación. 4) Documentar monitoreo y rollback. 5) Promover con aprobación.</t>
  </si>
  <si>
    <t>Idempotencia: configuración, evidencia y acta</t>
  </si>
  <si>
    <t>Idempotencia opera en pruebas y producción, sin secretos expuestos, con monitoreo y rollback verificado.</t>
  </si>
  <si>
    <t>Finalizar IMP-084</t>
  </si>
  <si>
    <t>IMP-086</t>
  </si>
  <si>
    <t>Trazabilidad documento-asiento</t>
  </si>
  <si>
    <t>Configurar y validar: Trazabilidad documento-asiento</t>
  </si>
  <si>
    <t>1) Diseñar Trazabilidad documento-asiento. 2) Configurar primero en pruebas sin exponer secretos. 3) Ejecutar prueba positiva, negativa y recuperación. 4) Documentar monitoreo y rollback. 5) Promover con aprobación.</t>
  </si>
  <si>
    <t>Trazabilidad documento-asiento: configuración, evidencia y acta</t>
  </si>
  <si>
    <t>Trazabilidad documento-asiento opera en pruebas y producción, sin secretos expuestos, con monitoreo y rollback verificado.</t>
  </si>
  <si>
    <t>Finalizar IMP-085</t>
  </si>
  <si>
    <t>IMP-087</t>
  </si>
  <si>
    <t>Partida doble al centavo</t>
  </si>
  <si>
    <t>Configurar y validar: Partida doble al centavo</t>
  </si>
  <si>
    <t>1) Diseñar Partida doble al centavo. 2) Configurar primero en pruebas sin exponer secretos. 3) Ejecutar prueba positiva, negativa y recuperación. 4) Documentar monitoreo y rollback. 5) Promover con aprobación.</t>
  </si>
  <si>
    <t>Partida doble al centavo: configuración, evidencia y acta</t>
  </si>
  <si>
    <t>Partida doble al centavo opera en pruebas y producción, sin secretos expuestos, con monitoreo y rollback verificado.</t>
  </si>
  <si>
    <t>Finalizar IMP-086</t>
  </si>
  <si>
    <t>IMP-088</t>
  </si>
  <si>
    <t>Clientes e identificaciones fiscales</t>
  </si>
  <si>
    <t>Migrar y conciliar: Clientes e identificaciones fiscales</t>
  </si>
  <si>
    <t>1) Identificar fuente y propietario de Clientes e identificaciones fiscales. 2) Extraer y perfilar. 3) Limpiar, homologar y mapear. 4) Cargar en pruebas. 5) Conciliar registros, importes y rechazados. 6) Firmar aprobación.</t>
  </si>
  <si>
    <t>Clientes e identificaciones fiscales: configuración, evidencia y acta</t>
  </si>
  <si>
    <t>Clientes e identificaciones fiscales: registros válidos cargados, rechazados justificados y diferencia monetaria 0,00; conciliación firmada.</t>
  </si>
  <si>
    <t>Consultor de datos</t>
  </si>
  <si>
    <t>IMP-089</t>
  </si>
  <si>
    <t>Proveedores y categorías</t>
  </si>
  <si>
    <t>Migrar y conciliar: Proveedores y categorías</t>
  </si>
  <si>
    <t>1) Identificar fuente y propietario de Proveedores y categorías. 2) Extraer y perfilar. 3) Limpiar, homologar y mapear. 4) Cargar en pruebas. 5) Conciliar registros, importes y rechazados. 6) Firmar aprobación.</t>
  </si>
  <si>
    <t>Proveedores y categorías: configuración, evidencia y acta</t>
  </si>
  <si>
    <t>Proveedores y categorías: registros válidos cargados, rechazados justificados y diferencia monetaria 0,00; conciliación firmada.</t>
  </si>
  <si>
    <t>Finalizar IMP-088</t>
  </si>
  <si>
    <t>IMP-090</t>
  </si>
  <si>
    <t>Empleados</t>
  </si>
  <si>
    <t>Migrar y conciliar: Empleados</t>
  </si>
  <si>
    <t>1) Identificar fuente y propietario de Empleados. 2) Extraer y perfilar. 3) Limpiar, homologar y mapear. 4) Cargar en pruebas. 5) Conciliar registros, importes y rechazados. 6) Firmar aprobación.</t>
  </si>
  <si>
    <t>Empleados: configuración, evidencia y acta</t>
  </si>
  <si>
    <t>Empleados: registros válidos cargados, rechazados justificados y diferencia monetaria 0,00; conciliación firmada.</t>
  </si>
  <si>
    <t>Finalizar IMP-089</t>
  </si>
  <si>
    <t>IMP-091</t>
  </si>
  <si>
    <t>Entidades por subsidiaria</t>
  </si>
  <si>
    <t>Migrar y conciliar: Entidades por subsidiaria</t>
  </si>
  <si>
    <t>1) Identificar fuente y propietario de Entidades por subsidiaria. 2) Extraer y perfilar. 3) Limpiar, homologar y mapear. 4) Cargar en pruebas. 5) Conciliar registros, importes y rechazados. 6) Firmar aprobación.</t>
  </si>
  <si>
    <t>Entidades por subsidiaria: configuración, evidencia y acta</t>
  </si>
  <si>
    <t>Entidades por subsidiaria: registros válidos cargados, rechazados justificados y diferencia monetaria 0,00; conciliación firmada.</t>
  </si>
  <si>
    <t>Finalizar IMP-090</t>
  </si>
  <si>
    <t>IMP-092</t>
  </si>
  <si>
    <t>Monedas autorizadas</t>
  </si>
  <si>
    <t>Migrar y conciliar: Monedas autorizadas</t>
  </si>
  <si>
    <t>1) Identificar fuente y propietario de Monedas autorizadas. 2) Extraer y perfilar. 3) Limpiar, homologar y mapear. 4) Cargar en pruebas. 5) Conciliar registros, importes y rechazados. 6) Firmar aprobación.</t>
  </si>
  <si>
    <t>Monedas autorizadas: configuración, evidencia y acta</t>
  </si>
  <si>
    <t>Monedas autorizadas: registros válidos cargados, rechazados justificados y diferencia monetaria 0,00; conciliación firmada.</t>
  </si>
  <si>
    <t>Finalizar IMP-091</t>
  </si>
  <si>
    <t>IMP-093</t>
  </si>
  <si>
    <t>Términos y límites de crédito</t>
  </si>
  <si>
    <t>Migrar y conciliar: Términos y límites de crédito</t>
  </si>
  <si>
    <t>1) Identificar fuente y propietario de Términos y límites de crédito. 2) Extraer y perfilar. 3) Limpiar, homologar y mapear. 4) Cargar en pruebas. 5) Conciliar registros, importes y rechazados. 6) Firmar aprobación.</t>
  </si>
  <si>
    <t>Términos y límites de crédito: configuración, evidencia y acta</t>
  </si>
  <si>
    <t>Términos y límites de crédito: registros válidos cargados, rechazados justificados y diferencia monetaria 0,00; conciliación firmada.</t>
  </si>
  <si>
    <t>Finalizar IMP-092</t>
  </si>
  <si>
    <t>IMP-094</t>
  </si>
  <si>
    <t>Retenciones por tercero</t>
  </si>
  <si>
    <t>Migrar y conciliar: Retenciones por tercero</t>
  </si>
  <si>
    <t>1) Identificar fuente y propietario de Retenciones por tercero. 2) Extraer y perfilar. 3) Limpiar, homologar y mapear. 4) Cargar en pruebas. 5) Conciliar registros, importes y rechazados. 6) Firmar aprobación.</t>
  </si>
  <si>
    <t>Retenciones por tercero: configuración, evidencia y acta</t>
  </si>
  <si>
    <t>Retenciones por tercero: registros válidos cargados, rechazados justificados y diferencia monetaria 0,00; conciliación firmada.</t>
  </si>
  <si>
    <t>Finalizar IMP-093</t>
  </si>
  <si>
    <t>IMP-095</t>
  </si>
  <si>
    <t>Clientes y proveedores intercompany</t>
  </si>
  <si>
    <t>Migrar y conciliar: Clientes y proveedores intercompany</t>
  </si>
  <si>
    <t>1) Identificar fuente y propietario de Clientes y proveedores intercompany. 2) Extraer y perfilar. 3) Limpiar, homologar y mapear. 4) Cargar en pruebas. 5) Conciliar registros, importes y rechazados. 6) Firmar aprobación.</t>
  </si>
  <si>
    <t>Clientes y proveedores intercompany: configuración, evidencia y acta</t>
  </si>
  <si>
    <t>Clientes y proveedores intercompany: registros válidos cargados, rechazados justificados y diferencia monetaria 0,00; conciliación firmada.</t>
  </si>
  <si>
    <t>Finalizar IMP-094</t>
  </si>
  <si>
    <t>IMP-096</t>
  </si>
  <si>
    <t>Agencias tributarias</t>
  </si>
  <si>
    <t>Migrar y conciliar: Agencias tributarias</t>
  </si>
  <si>
    <t>1) Identificar fuente y propietario de Agencias tributarias. 2) Extraer y perfilar. 3) Limpiar, homologar y mapear. 4) Cargar en pruebas. 5) Conciliar registros, importes y rechazados. 6) Firmar aprobación.</t>
  </si>
  <si>
    <t>Agencias tributarias: configuración, evidencia y acta</t>
  </si>
  <si>
    <t>Agencias tributarias: registros válidos cargados, rechazados justificados y diferencia monetaria 0,00; conciliación firmada.</t>
  </si>
  <si>
    <t>Finalizar IMP-095</t>
  </si>
  <si>
    <t>IMP-097</t>
  </si>
  <si>
    <t>Datos bancarios del tercero</t>
  </si>
  <si>
    <t>Migrar y conciliar: Datos bancarios del tercero</t>
  </si>
  <si>
    <t>1) Identificar fuente y propietario de Datos bancarios del tercero. 2) Extraer y perfilar. 3) Limpiar, homologar y mapear. 4) Cargar en pruebas. 5) Conciliar registros, importes y rechazados. 6) Firmar aprobación.</t>
  </si>
  <si>
    <t>Datos bancarios del tercero: configuración, evidencia y acta</t>
  </si>
  <si>
    <t>Datos bancarios del tercero: registros válidos cargados, rechazados justificados y diferencia monetaria 0,00; conciliación firmada.</t>
  </si>
  <si>
    <t>Finalizar IMP-096</t>
  </si>
  <si>
    <t>IMP-098</t>
  </si>
  <si>
    <t>4. Procesos operativos</t>
  </si>
  <si>
    <t>Listas de precios</t>
  </si>
  <si>
    <t>Configurar y validar: Listas de precios</t>
  </si>
  <si>
    <t>1) Levantar política para Listas de precios. 2) Preparar datos. 3) Parametrizar por filial. 4) Probar escenario normal, excepción y multimoneda cuando aplique. 5) Conciliar impacto y aprobar.</t>
  </si>
  <si>
    <t>Listas de precios: configuración, evidencia y acta</t>
  </si>
  <si>
    <t>Listas de precios funciona de extremo a extremo y contabiliza correctamente.</t>
  </si>
  <si>
    <t>Ventas / CxC</t>
  </si>
  <si>
    <t>IMP-099</t>
  </si>
  <si>
    <t>Cotizaciones</t>
  </si>
  <si>
    <t>Configurar y validar: Cotizaciones</t>
  </si>
  <si>
    <t>1) Levantar política para Cotizaciones. 2) Preparar datos. 3) Parametrizar por filial. 4) Probar escenario normal, excepción y multimoneda cuando aplique. 5) Conciliar impacto y aprobar.</t>
  </si>
  <si>
    <t>Cotizaciones: configuración, evidencia y acta</t>
  </si>
  <si>
    <t>Cotizaciones funciona de extremo a extremo y contabiliza correctamente.</t>
  </si>
  <si>
    <t>Finalizar IMP-098</t>
  </si>
  <si>
    <t>IMP-100</t>
  </si>
  <si>
    <t>Órdenes de venta</t>
  </si>
  <si>
    <t>Configurar y validar: Órdenes de venta</t>
  </si>
  <si>
    <t>1) Levantar política para Órdenes de venta. 2) Preparar datos. 3) Parametrizar por filial. 4) Probar escenario normal, excepción y multimoneda cuando aplique. 5) Conciliar impacto y aprobar.</t>
  </si>
  <si>
    <t>Órdenes de venta: configuración, evidencia y acta</t>
  </si>
  <si>
    <t>Órdenes de venta funciona de extremo a extremo y contabiliza correctamente.</t>
  </si>
  <si>
    <t>Finalizar IMP-099</t>
  </si>
  <si>
    <t>IMP-101</t>
  </si>
  <si>
    <t>Despachos</t>
  </si>
  <si>
    <t>Configurar y validar: Despachos</t>
  </si>
  <si>
    <t>1) Levantar política para Despachos. 2) Preparar datos. 3) Parametrizar por filial. 4) Probar escenario normal, excepción y multimoneda cuando aplique. 5) Conciliar impacto y aprobar.</t>
  </si>
  <si>
    <t>Despachos: configuración, evidencia y acta</t>
  </si>
  <si>
    <t>Despachos funciona de extremo a extremo y contabiliza correctamente.</t>
  </si>
  <si>
    <t>Finalizar IMP-100</t>
  </si>
  <si>
    <t>IMP-102</t>
  </si>
  <si>
    <t>Facturas de venta</t>
  </si>
  <si>
    <t>Configurar y validar: Facturas de venta</t>
  </si>
  <si>
    <t>1) Levantar política para Facturas de venta. 2) Preparar datos. 3) Parametrizar por filial. 4) Probar escenario normal, excepción y multimoneda cuando aplique. 5) Conciliar impacto y aprobar.</t>
  </si>
  <si>
    <t>Facturas de venta: configuración, evidencia y acta</t>
  </si>
  <si>
    <t>Facturas de venta funciona de extremo a extremo y contabiliza correctamente.</t>
  </si>
  <si>
    <t>Finalizar IMP-101</t>
  </si>
  <si>
    <t>IMP-103</t>
  </si>
  <si>
    <t>Numeración y tasa de cambio</t>
  </si>
  <si>
    <t>Configurar y validar: Numeración y tasa de cambio</t>
  </si>
  <si>
    <t>1) Levantar política para Numeración y tasa de cambio. 2) Preparar datos. 3) Parametrizar por filial. 4) Probar escenario normal, excepción y multimoneda cuando aplique. 5) Conciliar impacto y aprobar.</t>
  </si>
  <si>
    <t>Numeración y tasa de cambio: configuración, evidencia y acta</t>
  </si>
  <si>
    <t>Numeración y tasa de cambio funciona de extremo a extremo y contabiliza correctamente.</t>
  </si>
  <si>
    <t>Finalizar IMP-102</t>
  </si>
  <si>
    <t>IMP-104</t>
  </si>
  <si>
    <t>Impuestos y retenciones por línea</t>
  </si>
  <si>
    <t>Configurar y validar: Impuestos y retenciones por línea</t>
  </si>
  <si>
    <t>1) Levantar política para Impuestos y retenciones por línea. 2) Preparar datos. 3) Parametrizar por filial. 4) Probar escenario normal, excepción y multimoneda cuando aplique. 5) Conciliar impacto y aprobar.</t>
  </si>
  <si>
    <t>Impuestos y retenciones por línea: configuración, evidencia y acta</t>
  </si>
  <si>
    <t>Impuestos y retenciones por línea funciona de extremo a extremo y contabiliza correctamente.</t>
  </si>
  <si>
    <t>Finalizar IMP-103</t>
  </si>
  <si>
    <t>IMP-105</t>
  </si>
  <si>
    <t>PDF normal y unificado</t>
  </si>
  <si>
    <t>Configurar y validar: PDF normal y unificado</t>
  </si>
  <si>
    <t>1) Levantar política para PDF normal y unificado. 2) Preparar datos. 3) Parametrizar por filial. 4) Probar escenario normal, excepción y multimoneda cuando aplique. 5) Conciliar impacto y aprobar.</t>
  </si>
  <si>
    <t>PDF normal y unificado: configuración, evidencia y acta</t>
  </si>
  <si>
    <t>PDF normal y unificado funciona de extremo a extremo y contabiliza correctamente.</t>
  </si>
  <si>
    <t>Finalizar IMP-104</t>
  </si>
  <si>
    <t>IMP-106</t>
  </si>
  <si>
    <t>Notas de crédito y débito</t>
  </si>
  <si>
    <t>Configurar y validar: Notas de crédito y débito</t>
  </si>
  <si>
    <t>1) Levantar política para Notas de crédito y débito. 2) Preparar datos. 3) Parametrizar por filial. 4) Probar escenario normal, excepción y multimoneda cuando aplique. 5) Conciliar impacto y aprobar.</t>
  </si>
  <si>
    <t>Notas de crédito y débito: configuración, evidencia y acta</t>
  </si>
  <si>
    <t>Notas de crédito y débito funciona de extremo a extremo y contabiliza correctamente.</t>
  </si>
  <si>
    <t>Finalizar IMP-105</t>
  </si>
  <si>
    <t>IMP-107</t>
  </si>
  <si>
    <t>Cobros de clientes</t>
  </si>
  <si>
    <t>Configurar y validar: Cobros de clientes</t>
  </si>
  <si>
    <t>1) Levantar política para Cobros de clientes. 2) Preparar datos. 3) Parametrizar por filial. 4) Probar escenario normal, excepción y multimoneda cuando aplique. 5) Conciliar impacto y aprobar.</t>
  </si>
  <si>
    <t>Cobros de clientes: configuración, evidencia y acta</t>
  </si>
  <si>
    <t>Cobros de clientes funciona de extremo a extremo y contabiliza correctamente.</t>
  </si>
  <si>
    <t>Finalizar IMP-106</t>
  </si>
  <si>
    <t>IMP-108</t>
  </si>
  <si>
    <t>Comisiones bancarias en cobros</t>
  </si>
  <si>
    <t>Configurar y validar: Comisiones bancarias en cobros</t>
  </si>
  <si>
    <t>1) Levantar política para Comisiones bancarias en cobros. 2) Preparar datos. 3) Parametrizar por filial. 4) Probar escenario normal, excepción y multimoneda cuando aplique. 5) Conciliar impacto y aprobar.</t>
  </si>
  <si>
    <t>Comisiones bancarias en cobros: configuración, evidencia y acta</t>
  </si>
  <si>
    <t>Comisiones bancarias en cobros funciona de extremo a extremo y contabiliza correctamente.</t>
  </si>
  <si>
    <t>Finalizar IMP-107</t>
  </si>
  <si>
    <t>IMP-109</t>
  </si>
  <si>
    <t>Anticipos y aplicaciones parciales</t>
  </si>
  <si>
    <t>Configurar y validar: Anticipos y aplicaciones parciales</t>
  </si>
  <si>
    <t>1) Levantar política para Anticipos y aplicaciones parciales. 2) Preparar datos. 3) Parametrizar por filial. 4) Probar escenario normal, excepción y multimoneda cuando aplique. 5) Conciliar impacto y aprobar.</t>
  </si>
  <si>
    <t>Anticipos y aplicaciones parciales: configuración, evidencia y acta</t>
  </si>
  <si>
    <t>Anticipos y aplicaciones parciales funciona de extremo a extremo y contabiliza correctamente.</t>
  </si>
  <si>
    <t>Finalizar IMP-108</t>
  </si>
  <si>
    <t>IMP-110</t>
  </si>
  <si>
    <t>Facturación intercompany</t>
  </si>
  <si>
    <t>Configurar y validar: Facturación intercompany</t>
  </si>
  <si>
    <t>1) Levantar política para Facturación intercompany. 2) Preparar datos. 3) Parametrizar por filial. 4) Probar escenario normal, excepción y multimoneda cuando aplique. 5) Conciliar impacto y aprobar.</t>
  </si>
  <si>
    <t>Facturación intercompany: configuración, evidencia y acta</t>
  </si>
  <si>
    <t>Facturación intercompany funciona de extremo a extremo y contabiliza correctamente.</t>
  </si>
  <si>
    <t>Finalizar IMP-109</t>
  </si>
  <si>
    <t>IMP-111</t>
  </si>
  <si>
    <t>Estados de cuenta</t>
  </si>
  <si>
    <t>Configurar y validar: Estados de cuenta</t>
  </si>
  <si>
    <t>1) Levantar política para Estados de cuenta. 2) Preparar datos. 3) Parametrizar por filial. 4) Probar escenario normal, excepción y multimoneda cuando aplique. 5) Conciliar impacto y aprobar.</t>
  </si>
  <si>
    <t>Estados de cuenta: configuración, evidencia y acta</t>
  </si>
  <si>
    <t>Estados de cuenta funciona de extremo a extremo y contabiliza correctamente.</t>
  </si>
  <si>
    <t>Finalizar IMP-110</t>
  </si>
  <si>
    <t>IMP-112</t>
  </si>
  <si>
    <t>Solicitudes de compra</t>
  </si>
  <si>
    <t>Configurar y validar: Solicitudes de compra</t>
  </si>
  <si>
    <t>1) Levantar política para Solicitudes de compra. 2) Preparar datos. 3) Parametrizar por filial. 4) Probar escenario normal, excepción y multimoneda cuando aplique. 5) Conciliar impacto y aprobar.</t>
  </si>
  <si>
    <t>Solicitudes de compra: configuración, evidencia y acta</t>
  </si>
  <si>
    <t>Solicitudes de compra funciona de extremo a extremo y contabiliza correctamente.</t>
  </si>
  <si>
    <t>Compras / CxP</t>
  </si>
  <si>
    <t>IMP-113</t>
  </si>
  <si>
    <t>Cotizaciones de proveedores</t>
  </si>
  <si>
    <t>Configurar y validar: Cotizaciones de proveedores</t>
  </si>
  <si>
    <t>1) Levantar política para Cotizaciones de proveedores. 2) Preparar datos. 3) Parametrizar por filial. 4) Probar escenario normal, excepción y multimoneda cuando aplique. 5) Conciliar impacto y aprobar.</t>
  </si>
  <si>
    <t>Cotizaciones de proveedores: configuración, evidencia y acta</t>
  </si>
  <si>
    <t>Cotizaciones de proveedores funciona de extremo a extremo y contabiliza correctamente.</t>
  </si>
  <si>
    <t>Finalizar IMP-112</t>
  </si>
  <si>
    <t>IMP-114</t>
  </si>
  <si>
    <t>Órdenes de compra</t>
  </si>
  <si>
    <t>Configurar y validar: Órdenes de compra</t>
  </si>
  <si>
    <t>1) Levantar política para Órdenes de compra. 2) Preparar datos. 3) Parametrizar por filial. 4) Probar escenario normal, excepción y multimoneda cuando aplique. 5) Conciliar impacto y aprobar.</t>
  </si>
  <si>
    <t>Órdenes de compra: configuración, evidencia y acta</t>
  </si>
  <si>
    <t>Órdenes de compra funciona de extremo a extremo y contabiliza correctamente.</t>
  </si>
  <si>
    <t>Finalizar IMP-113</t>
  </si>
  <si>
    <t>IMP-115</t>
  </si>
  <si>
    <t>Recepciones</t>
  </si>
  <si>
    <t>Configurar y validar: Recepciones</t>
  </si>
  <si>
    <t>1) Levantar política para Recepciones. 2) Preparar datos. 3) Parametrizar por filial. 4) Probar escenario normal, excepción y multimoneda cuando aplique. 5) Conciliar impacto y aprobar.</t>
  </si>
  <si>
    <t>Recepciones: configuración, evidencia y acta</t>
  </si>
  <si>
    <t>Recepciones funciona de extremo a extremo y contabiliza correctamente.</t>
  </si>
  <si>
    <t>Finalizar IMP-114</t>
  </si>
  <si>
    <t>IMP-116</t>
  </si>
  <si>
    <t>Factura estándar</t>
  </si>
  <si>
    <t>Configurar y validar: Factura estándar</t>
  </si>
  <si>
    <t>1) Levantar política para Factura estándar. 2) Preparar datos. 3) Parametrizar por filial. 4) Probar escenario normal, excepción y multimoneda cuando aplique. 5) Conciliar impacto y aprobar.</t>
  </si>
  <si>
    <t>Factura estándar: configuración, evidencia y acta</t>
  </si>
  <si>
    <t>Factura estándar funciona de extremo a extremo y contabiliza correctamente.</t>
  </si>
  <si>
    <t>Finalizar IMP-115</t>
  </si>
  <si>
    <t>IMP-117</t>
  </si>
  <si>
    <t>Factura de activo fijo</t>
  </si>
  <si>
    <t>Configurar y validar: Factura de activo fijo</t>
  </si>
  <si>
    <t>1) Levantar política para Factura de activo fijo. 2) Preparar datos. 3) Parametrizar por filial. 4) Probar escenario normal, excepción y multimoneda cuando aplique. 5) Conciliar impacto y aprobar.</t>
  </si>
  <si>
    <t>Factura de activo fijo: configuración, evidencia y acta</t>
  </si>
  <si>
    <t>Factura de activo fijo funciona de extremo a extremo y contabiliza correctamente.</t>
  </si>
  <si>
    <t>Finalizar IMP-116</t>
  </si>
  <si>
    <t>IMP-118</t>
  </si>
  <si>
    <t>Factura Expense</t>
  </si>
  <si>
    <t>Configurar y validar: Factura Expense</t>
  </si>
  <si>
    <t>1) Levantar política para Factura Expense. 2) Preparar datos. 3) Parametrizar por filial. 4) Probar escenario normal, excepción y multimoneda cuando aplique. 5) Conciliar impacto y aprobar.</t>
  </si>
  <si>
    <t>Factura Expense: configuración, evidencia y acta</t>
  </si>
  <si>
    <t>Factura Expense funciona de extremo a extremo y contabiliza correctamente.</t>
  </si>
  <si>
    <t>Finalizar IMP-117</t>
  </si>
  <si>
    <t>IMP-119</t>
  </si>
  <si>
    <t>Factura Caja Chica</t>
  </si>
  <si>
    <t>Configurar y validar: Factura Caja Chica</t>
  </si>
  <si>
    <t>1) Levantar política para Factura Caja Chica. 2) Preparar datos. 3) Parametrizar por filial. 4) Probar escenario normal, excepción y multimoneda cuando aplique. 5) Conciliar impacto y aprobar.</t>
  </si>
  <si>
    <t>Factura Caja Chica: configuración, evidencia y acta</t>
  </si>
  <si>
    <t>Factura Caja Chica funciona de extremo a extremo y contabiliza correctamente.</t>
  </si>
  <si>
    <t>Finalizar IMP-118</t>
  </si>
  <si>
    <t>IMP-120</t>
  </si>
  <si>
    <t>Cuenta CxP normal e intercompany</t>
  </si>
  <si>
    <t>Configurar y validar: Cuenta CxP normal e intercompany</t>
  </si>
  <si>
    <t>1) Levantar política para Cuenta CxP normal e intercompany. 2) Preparar datos. 3) Parametrizar por filial. 4) Probar escenario normal, excepción y multimoneda cuando aplique. 5) Conciliar impacto y aprobar.</t>
  </si>
  <si>
    <t>Cuenta CxP normal e intercompany: configuración, evidencia y acta</t>
  </si>
  <si>
    <t>Cuenta CxP normal e intercompany funciona de extremo a extremo y contabiliza correctamente.</t>
  </si>
  <si>
    <t>Finalizar IMP-119</t>
  </si>
  <si>
    <t>IMP-121</t>
  </si>
  <si>
    <t>Retenciones</t>
  </si>
  <si>
    <t>Configurar y validar: Retenciones</t>
  </si>
  <si>
    <t>1) Levantar política para Retenciones. 2) Preparar datos. 3) Parametrizar por filial. 4) Probar escenario normal, excepción y multimoneda cuando aplique. 5) Conciliar impacto y aprobar.</t>
  </si>
  <si>
    <t>Retenciones: configuración, evidencia y acta</t>
  </si>
  <si>
    <t>Retenciones funciona de extremo a extremo y contabiliza correctamente.</t>
  </si>
  <si>
    <t>Finalizar IMP-120</t>
  </si>
  <si>
    <t>IMP-122</t>
  </si>
  <si>
    <t>Archivos de respaldo</t>
  </si>
  <si>
    <t>Configurar y validar: Archivos de respaldo</t>
  </si>
  <si>
    <t>1) Levantar política para Archivos de respaldo. 2) Preparar datos. 3) Parametrizar por filial. 4) Probar escenario normal, excepción y multimoneda cuando aplique. 5) Conciliar impacto y aprobar.</t>
  </si>
  <si>
    <t>Archivos de respaldo: configuración, evidencia y acta</t>
  </si>
  <si>
    <t>Archivos de respaldo funciona de extremo a extremo y contabiliza correctamente.</t>
  </si>
  <si>
    <t>Finalizar IMP-121</t>
  </si>
  <si>
    <t>IMP-123</t>
  </si>
  <si>
    <t>Finalizar IMP-122</t>
  </si>
  <si>
    <t>IMP-124</t>
  </si>
  <si>
    <t>Pagos parciales y anticipos</t>
  </si>
  <si>
    <t>Configurar y validar: Pagos parciales y anticipos</t>
  </si>
  <si>
    <t>1) Levantar política para Pagos parciales y anticipos. 2) Preparar datos. 3) Parametrizar por filial. 4) Probar escenario normal, excepción y multimoneda cuando aplique. 5) Conciliar impacto y aprobar.</t>
  </si>
  <si>
    <t>Pagos parciales y anticipos: configuración, evidencia y acta</t>
  </si>
  <si>
    <t>Pagos parciales y anticipos funciona de extremo a extremo y contabiliza correctamente.</t>
  </si>
  <si>
    <t>Finalizar IMP-123</t>
  </si>
  <si>
    <t>IMP-125</t>
  </si>
  <si>
    <t>Lotes de pago</t>
  </si>
  <si>
    <t>Configurar y validar: Lotes de pago</t>
  </si>
  <si>
    <t>1) Levantar política para Lotes de pago. 2) Preparar datos. 3) Parametrizar por filial. 4) Probar escenario normal, excepción y multimoneda cuando aplique. 5) Conciliar impacto y aprobar.</t>
  </si>
  <si>
    <t>Lotes de pago: configuración, evidencia y acta</t>
  </si>
  <si>
    <t>Lotes de pago funciona de extremo a extremo y contabiliza correctamente.</t>
  </si>
  <si>
    <t>Finalizar IMP-124</t>
  </si>
  <si>
    <t>IMP-126</t>
  </si>
  <si>
    <t>Tipos y políticas de gasto</t>
  </si>
  <si>
    <t>Configurar y validar: Tipos y políticas de gasto</t>
  </si>
  <si>
    <t>1) Levantar política para Tipos y políticas de gasto. 2) Preparar datos. 3) Parametrizar por filial. 4) Probar escenario normal, excepción y multimoneda cuando aplique. 5) Conciliar impacto y aprobar.</t>
  </si>
  <si>
    <t>Tipos y políticas de gasto: configuración, evidencia y acta</t>
  </si>
  <si>
    <t>Tipos y políticas de gasto funciona de extremo a extremo y contabiliza correctamente.</t>
  </si>
  <si>
    <t>Administración</t>
  </si>
  <si>
    <t>IMP-127</t>
  </si>
  <si>
    <t>Solicitud de gasto</t>
  </si>
  <si>
    <t>Configurar y validar: Solicitud de gasto</t>
  </si>
  <si>
    <t>1) Levantar política para Solicitud de gasto. 2) Preparar datos. 3) Parametrizar por filial. 4) Probar escenario normal, excepción y multimoneda cuando aplique. 5) Conciliar impacto y aprobar.</t>
  </si>
  <si>
    <t>Solicitud de gasto: configuración, evidencia y acta</t>
  </si>
  <si>
    <t>Solicitud de gasto funciona de extremo a extremo y contabiliza correctamente.</t>
  </si>
  <si>
    <t>Finalizar IMP-126</t>
  </si>
  <si>
    <t>IMP-128</t>
  </si>
  <si>
    <t>Dimensiones del gasto</t>
  </si>
  <si>
    <t>Configurar y validar: Dimensiones del gasto</t>
  </si>
  <si>
    <t>1) Levantar política para Dimensiones del gasto. 2) Preparar datos. 3) Parametrizar por filial. 4) Probar escenario normal, excepción y multimoneda cuando aplique. 5) Conciliar impacto y aprobar.</t>
  </si>
  <si>
    <t>Dimensiones del gasto: configuración, evidencia y acta</t>
  </si>
  <si>
    <t>Dimensiones del gasto funciona de extremo a extremo y contabiliza correctamente.</t>
  </si>
  <si>
    <t>Finalizar IMP-127</t>
  </si>
  <si>
    <t>IMP-129</t>
  </si>
  <si>
    <t>Aprobación administrativa y de proyectos</t>
  </si>
  <si>
    <t>Configurar y validar: Aprobación administrativa y de proyectos</t>
  </si>
  <si>
    <t>1) Levantar política para Aprobación administrativa y de proyectos. 2) Preparar datos. 3) Parametrizar por filial. 4) Probar escenario normal, excepción y multimoneda cuando aplique. 5) Conciliar impacto y aprobar.</t>
  </si>
  <si>
    <t>Aprobación administrativa y de proyectos: configuración, evidencia y acta</t>
  </si>
  <si>
    <t>Aprobación administrativa y de proyectos funciona de extremo a extremo y contabiliza correctamente.</t>
  </si>
  <si>
    <t>Finalizar IMP-128</t>
  </si>
  <si>
    <t>IMP-130</t>
  </si>
  <si>
    <t>Documentos de respaldo</t>
  </si>
  <si>
    <t>Configurar y validar: Documentos de respaldo</t>
  </si>
  <si>
    <t>1) Levantar política para Documentos de respaldo. 2) Preparar datos. 3) Parametrizar por filial. 4) Probar escenario normal, excepción y multimoneda cuando aplique. 5) Conciliar impacto y aprobar.</t>
  </si>
  <si>
    <t>Documentos de respaldo: configuración, evidencia y acta</t>
  </si>
  <si>
    <t>Documentos de respaldo funciona de extremo a extremo y contabiliza correctamente.</t>
  </si>
  <si>
    <t>Finalizar IMP-129</t>
  </si>
  <si>
    <t>IMP-131</t>
  </si>
  <si>
    <t>Pago y contabilización</t>
  </si>
  <si>
    <t>Configurar y validar: Pago y contabilización</t>
  </si>
  <si>
    <t>1) Levantar política para Pago y contabilización. 2) Preparar datos. 3) Parametrizar por filial. 4) Probar escenario normal, excepción y multimoneda cuando aplique. 5) Conciliar impacto y aprobar.</t>
  </si>
  <si>
    <t>Pago y contabilización: configuración, evidencia y acta</t>
  </si>
  <si>
    <t>Pago y contabilización funciona de extremo a extremo y contabiliza correctamente.</t>
  </si>
  <si>
    <t>Finalizar IMP-130</t>
  </si>
  <si>
    <t>IMP-132</t>
  </si>
  <si>
    <t>Informes de gasto y presupuesto</t>
  </si>
  <si>
    <t>Configurar y validar: Informes de gasto y presupuesto</t>
  </si>
  <si>
    <t>1) Levantar política para Informes de gasto y presupuesto. 2) Preparar datos. 3) Parametrizar por filial. 4) Probar escenario normal, excepción y multimoneda cuando aplique. 5) Conciliar impacto y aprobar.</t>
  </si>
  <si>
    <t>Informes de gasto y presupuesto: configuración, evidencia y acta</t>
  </si>
  <si>
    <t>Informes de gasto y presupuesto funciona de extremo a extremo y contabiliza correctamente.</t>
  </si>
  <si>
    <t>Finalizar IMP-131</t>
  </si>
  <si>
    <t>IMP-133</t>
  </si>
  <si>
    <t>Flujos y pasos</t>
  </si>
  <si>
    <t>Configurar y validar: Flujos y pasos</t>
  </si>
  <si>
    <t>1) Definir regla y responsables de Flujos y pasos. 2) Configurar permisos, trazabilidad y excepciones. 3) Probar caso autorizado y no autorizado. 4) Revisar bitácora. 5) Obtener conformidad de Control Interno.</t>
  </si>
  <si>
    <t>Flujos y pasos: configuración, evidencia y acta</t>
  </si>
  <si>
    <t>Flujos y pasos permite solo acciones autorizadas y registra actor, fecha y resultado.</t>
  </si>
  <si>
    <t>Dueños de proceso</t>
  </si>
  <si>
    <t>IMP-134</t>
  </si>
  <si>
    <t>Reglas y acciones</t>
  </si>
  <si>
    <t>Configurar y validar: Reglas y acciones</t>
  </si>
  <si>
    <t>1) Definir regla y responsables de Reglas y acciones. 2) Configurar permisos, trazabilidad y excepciones. 3) Probar caso autorizado y no autorizado. 4) Revisar bitácora. 5) Obtener conformidad de Control Interno.</t>
  </si>
  <si>
    <t>Reglas y acciones: configuración, evidencia y acta</t>
  </si>
  <si>
    <t>Reglas y acciones permite solo acciones autorizadas y registra actor, fecha y resultado.</t>
  </si>
  <si>
    <t>Finalizar IMP-133</t>
  </si>
  <si>
    <t>IMP-135</t>
  </si>
  <si>
    <t>Matrices por transacción y monto</t>
  </si>
  <si>
    <t>Configurar y validar: Matrices por transacción y monto</t>
  </si>
  <si>
    <t>1) Definir regla y responsables de Matrices por transacción y monto. 2) Configurar permisos, trazabilidad y excepciones. 3) Probar caso autorizado y no autorizado. 4) Revisar bitácora. 5) Obtener conformidad de Control Interno.</t>
  </si>
  <si>
    <t>Matrices por transacción y monto: configuración, evidencia y acta</t>
  </si>
  <si>
    <t>Matrices por transacción y monto permite solo acciones autorizadas y registra actor, fecha y resultado.</t>
  </si>
  <si>
    <t>Finalizar IMP-134</t>
  </si>
  <si>
    <t>IMP-136</t>
  </si>
  <si>
    <t>Departamento Cliente y Aprobador UP</t>
  </si>
  <si>
    <t>Configurar y validar: Departamento Cliente y Aprobador UP</t>
  </si>
  <si>
    <t>1) Definir regla y responsables de Departamento Cliente y Aprobador UP. 2) Configurar permisos, trazabilidad y excepciones. 3) Probar caso autorizado y no autorizado. 4) Revisar bitácora. 5) Obtener conformidad de Control Interno.</t>
  </si>
  <si>
    <t>Departamento Cliente y Aprobador UP: configuración, evidencia y acta</t>
  </si>
  <si>
    <t>Departamento Cliente y Aprobador UP permite solo acciones autorizadas y registra actor, fecha y resultado.</t>
  </si>
  <si>
    <t>Finalizar IMP-135</t>
  </si>
  <si>
    <t>IMP-137</t>
  </si>
  <si>
    <t>UP por defecto de filial</t>
  </si>
  <si>
    <t>Configurar y validar: UP por defecto de filial</t>
  </si>
  <si>
    <t>1) Definir regla y responsables de UP por defecto de filial. 2) Configurar permisos, trazabilidad y excepciones. 3) Probar caso autorizado y no autorizado. 4) Revisar bitácora. 5) Obtener conformidad de Control Interno.</t>
  </si>
  <si>
    <t>UP por defecto de filial: configuración, evidencia y acta</t>
  </si>
  <si>
    <t>UP por defecto de filial permite solo acciones autorizadas y registra actor, fecha y resultado.</t>
  </si>
  <si>
    <t>Finalizar IMP-136</t>
  </si>
  <si>
    <t>IMP-138</t>
  </si>
  <si>
    <t>Departamento Interno y Aprobador Administrativo</t>
  </si>
  <si>
    <t>Configurar y validar: Departamento Interno y Aprobador Administrativo</t>
  </si>
  <si>
    <t>1) Definir regla y responsables de Departamento Interno y Aprobador Administrativo. 2) Configurar permisos, trazabilidad y excepciones. 3) Probar caso autorizado y no autorizado. 4) Revisar bitácora. 5) Obtener conformidad de Control Interno.</t>
  </si>
  <si>
    <t>Departamento Interno y Aprobador Administrativo: configuración, evidencia y acta</t>
  </si>
  <si>
    <t>Departamento Interno y Aprobador Administrativo permite solo acciones autorizadas y registra actor, fecha y resultado.</t>
  </si>
  <si>
    <t>Finalizar IMP-137</t>
  </si>
  <si>
    <t>IMP-139</t>
  </si>
  <si>
    <t>Agencia Tributaria y Supervisor tributario</t>
  </si>
  <si>
    <t>Configurar y validar: Agencia Tributaria y Supervisor tributario</t>
  </si>
  <si>
    <t>1) Definir regla y responsables de Agencia Tributaria y Supervisor tributario. 2) Configurar permisos, trazabilidad y excepciones. 3) Probar caso autorizado y no autorizado. 4) Revisar bitácora. 5) Obtener conformidad de Control Interno.</t>
  </si>
  <si>
    <t>Agencia Tributaria y Supervisor tributario: configuración, evidencia y acta</t>
  </si>
  <si>
    <t>Agencia Tributaria y Supervisor tributario permite solo acciones autorizadas y registra actor, fecha y resultado.</t>
  </si>
  <si>
    <t>Finalizar IMP-138</t>
  </si>
  <si>
    <t>IMP-140</t>
  </si>
  <si>
    <t>Escalamiento a administrador</t>
  </si>
  <si>
    <t>Configurar y validar: Escalamiento a administrador</t>
  </si>
  <si>
    <t>1) Definir regla y responsables de Escalamiento a administrador. 2) Configurar permisos, trazabilidad y excepciones. 3) Probar caso autorizado y no autorizado. 4) Revisar bitácora. 5) Obtener conformidad de Control Interno.</t>
  </si>
  <si>
    <t>Escalamiento a administrador: configuración, evidencia y acta</t>
  </si>
  <si>
    <t>Escalamiento a administrador permite solo acciones autorizadas y registra actor, fecha y resultado.</t>
  </si>
  <si>
    <t>Finalizar IMP-139</t>
  </si>
  <si>
    <t>IMP-141</t>
  </si>
  <si>
    <t>Rechazo devolución y suplencias</t>
  </si>
  <si>
    <t>Configurar y validar: Rechazo devolución y suplencias</t>
  </si>
  <si>
    <t>1) Definir regla y responsables de Rechazo devolución y suplencias. 2) Configurar permisos, trazabilidad y excepciones. 3) Probar caso autorizado y no autorizado. 4) Revisar bitácora. 5) Obtener conformidad de Control Interno.</t>
  </si>
  <si>
    <t>Rechazo devolución y suplencias: configuración, evidencia y acta</t>
  </si>
  <si>
    <t>Rechazo devolución y suplencias permite solo acciones autorizadas y registra actor, fecha y resultado.</t>
  </si>
  <si>
    <t>Finalizar IMP-140</t>
  </si>
  <si>
    <t>IMP-142</t>
  </si>
  <si>
    <t>Bandeja Mis aprobaciones</t>
  </si>
  <si>
    <t>Configurar y validar: Bandeja Mis aprobaciones</t>
  </si>
  <si>
    <t>1) Definir regla y responsables de Bandeja Mis aprobaciones. 2) Configurar permisos, trazabilidad y excepciones. 3) Probar caso autorizado y no autorizado. 4) Revisar bitácora. 5) Obtener conformidad de Control Interno.</t>
  </si>
  <si>
    <t>Bandeja Mis aprobaciones: configuración, evidencia y acta</t>
  </si>
  <si>
    <t>Bandeja Mis aprobaciones permite solo acciones autorizadas y registra actor, fecha y resultado.</t>
  </si>
  <si>
    <t>Finalizar IMP-141</t>
  </si>
  <si>
    <t>IMP-143</t>
  </si>
  <si>
    <t>Correos y enlaces</t>
  </si>
  <si>
    <t>Configurar y validar: Correos y enlaces</t>
  </si>
  <si>
    <t>1) Definir regla y responsables de Correos y enlaces. 2) Configurar permisos, trazabilidad y excepciones. 3) Probar caso autorizado y no autorizado. 4) Revisar bitácora. 5) Obtener conformidad de Control Interno.</t>
  </si>
  <si>
    <t>Correos y enlaces: configuración, evidencia y acta</t>
  </si>
  <si>
    <t>Correos y enlaces permite solo acciones autorizadas y registra actor, fecha y resultado.</t>
  </si>
  <si>
    <t>Finalizar IMP-142</t>
  </si>
  <si>
    <t>IMP-144</t>
  </si>
  <si>
    <t>Historial de decisiones</t>
  </si>
  <si>
    <t>Configurar y validar: Historial de decisiones</t>
  </si>
  <si>
    <t>1) Definir regla y responsables de Historial de decisiones. 2) Configurar permisos, trazabilidad y excepciones. 3) Probar caso autorizado y no autorizado. 4) Revisar bitácora. 5) Obtener conformidad de Control Interno.</t>
  </si>
  <si>
    <t>Historial de decisiones: configuración, evidencia y acta</t>
  </si>
  <si>
    <t>Historial de decisiones permite solo acciones autorizadas y registra actor, fecha y resultado.</t>
  </si>
  <si>
    <t>Finalizar IMP-143</t>
  </si>
  <si>
    <t>IMP-145</t>
  </si>
  <si>
    <t>Catálogo de bancos</t>
  </si>
  <si>
    <t>Configurar y validar: Catálogo de bancos</t>
  </si>
  <si>
    <t>1) Levantar política para Catálogo de bancos. 2) Preparar datos. 3) Parametrizar por filial. 4) Probar escenario normal, excepción y multimoneda cuando aplique. 5) Conciliar impacto y aprobar.</t>
  </si>
  <si>
    <t>Catálogo de bancos: configuración, evidencia y acta</t>
  </si>
  <si>
    <t>Catálogo de bancos funciona de extremo a extremo y contabiliza correctamente.</t>
  </si>
  <si>
    <t>IMP-146</t>
  </si>
  <si>
    <t>Cuentas por filial y moneda</t>
  </si>
  <si>
    <t>Configurar y validar: Cuentas por filial y moneda</t>
  </si>
  <si>
    <t>1) Levantar política para Cuentas por filial y moneda. 2) Preparar datos. 3) Parametrizar por filial. 4) Probar escenario normal, excepción y multimoneda cuando aplique. 5) Conciliar impacto y aprobar.</t>
  </si>
  <si>
    <t>Cuentas por filial y moneda: configuración, evidencia y acta</t>
  </si>
  <si>
    <t>Cuentas por filial y moneda funciona de extremo a extremo y contabiliza correctamente.</t>
  </si>
  <si>
    <t>Finalizar IMP-145</t>
  </si>
  <si>
    <t>IMP-147</t>
  </si>
  <si>
    <t>Vínculo cuenta bancaria-contable</t>
  </si>
  <si>
    <t>Configurar y validar: Vínculo cuenta bancaria-contable</t>
  </si>
  <si>
    <t>1) Levantar política para Vínculo cuenta bancaria-contable. 2) Preparar datos. 3) Parametrizar por filial. 4) Probar escenario normal, excepción y multimoneda cuando aplique. 5) Conciliar impacto y aprobar.</t>
  </si>
  <si>
    <t>Vínculo cuenta bancaria-contable: configuración, evidencia y acta</t>
  </si>
  <si>
    <t>Vínculo cuenta bancaria-contable funciona de extremo a extremo y contabiliza correctamente.</t>
  </si>
  <si>
    <t>Finalizar IMP-146</t>
  </si>
  <si>
    <t>IMP-148</t>
  </si>
  <si>
    <t>Extractos bancarios</t>
  </si>
  <si>
    <t>Configurar y validar: Extractos bancarios</t>
  </si>
  <si>
    <t>1) Levantar política para Extractos bancarios. 2) Preparar datos. 3) Parametrizar por filial. 4) Probar escenario normal, excepción y multimoneda cuando aplique. 5) Conciliar impacto y aprobar.</t>
  </si>
  <si>
    <t>Extractos bancarios: configuración, evidencia y acta</t>
  </si>
  <si>
    <t>Extractos bancarios funciona de extremo a extremo y contabiliza correctamente.</t>
  </si>
  <si>
    <t>Finalizar IMP-147</t>
  </si>
  <si>
    <t>IMP-149</t>
  </si>
  <si>
    <t>Importación CSV Excel OFX</t>
  </si>
  <si>
    <t>Configurar y validar: Importación CSV Excel OFX</t>
  </si>
  <si>
    <t>1) Levantar política para Importación CSV Excel OFX. 2) Preparar datos. 3) Parametrizar por filial. 4) Probar escenario normal, excepción y multimoneda cuando aplique. 5) Conciliar impacto y aprobar.</t>
  </si>
  <si>
    <t>Importación CSV Excel OFX: configuración, evidencia y acta</t>
  </si>
  <si>
    <t>Importación CSV Excel OFX funciona de extremo a extremo y contabiliza correctamente.</t>
  </si>
  <si>
    <t>Finalizar IMP-148</t>
  </si>
  <si>
    <t>IMP-150</t>
  </si>
  <si>
    <t>Conciliación automática</t>
  </si>
  <si>
    <t>Configurar y validar: Conciliación automática</t>
  </si>
  <si>
    <t>1) Levantar política para Conciliación automática. 2) Preparar datos. 3) Parametrizar por filial. 4) Probar escenario normal, excepción y multimoneda cuando aplique. 5) Conciliar impacto y aprobar.</t>
  </si>
  <si>
    <t>Conciliación automática: configuración, evidencia y acta</t>
  </si>
  <si>
    <t>Conciliación automática funciona de extremo a extremo y contabiliza correctamente.</t>
  </si>
  <si>
    <t>Finalizar IMP-149</t>
  </si>
  <si>
    <t>IMP-151</t>
  </si>
  <si>
    <t>Conciliación manual</t>
  </si>
  <si>
    <t>Configurar y validar: Conciliación manual</t>
  </si>
  <si>
    <t>1) Levantar política para Conciliación manual. 2) Preparar datos. 3) Parametrizar por filial. 4) Probar escenario normal, excepción y multimoneda cuando aplique. 5) Conciliar impacto y aprobar.</t>
  </si>
  <si>
    <t>Conciliación manual: configuración, evidencia y acta</t>
  </si>
  <si>
    <t>Conciliación manual funciona de extremo a extremo y contabiliza correctamente.</t>
  </si>
  <si>
    <t>Finalizar IMP-150</t>
  </si>
  <si>
    <t>IMP-152</t>
  </si>
  <si>
    <t>Partidas en tránsito</t>
  </si>
  <si>
    <t>Configurar y validar: Partidas en tránsito</t>
  </si>
  <si>
    <t>1) Levantar política para Partidas en tránsito. 2) Preparar datos. 3) Parametrizar por filial. 4) Probar escenario normal, excepción y multimoneda cuando aplique. 5) Conciliar impacto y aprobar.</t>
  </si>
  <si>
    <t>Partidas en tránsito: configuración, evidencia y acta</t>
  </si>
  <si>
    <t>Partidas en tránsito funciona de extremo a extremo y contabiliza correctamente.</t>
  </si>
  <si>
    <t>Finalizar IMP-151</t>
  </si>
  <si>
    <t>IMP-153</t>
  </si>
  <si>
    <t>Comisiones bancarias masivas</t>
  </si>
  <si>
    <t>Configurar y validar: Comisiones bancarias masivas</t>
  </si>
  <si>
    <t>1) Levantar política para Comisiones bancarias masivas. 2) Preparar datos. 3) Parametrizar por filial. 4) Probar escenario normal, excepción y multimoneda cuando aplique. 5) Conciliar impacto y aprobar.</t>
  </si>
  <si>
    <t>Comisiones bancarias masivas: configuración, evidencia y acta</t>
  </si>
  <si>
    <t>Comisiones bancarias masivas funciona de extremo a extremo y contabiliza correctamente.</t>
  </si>
  <si>
    <t>Finalizar IMP-152</t>
  </si>
  <si>
    <t>IMP-154</t>
  </si>
  <si>
    <t>Transferencias cheques y depósitos</t>
  </si>
  <si>
    <t>Configurar y validar: Transferencias cheques y depósitos</t>
  </si>
  <si>
    <t>1) Levantar política para Transferencias cheques y depósitos. 2) Preparar datos. 3) Parametrizar por filial. 4) Probar escenario normal, excepción y multimoneda cuando aplique. 5) Conciliar impacto y aprobar.</t>
  </si>
  <si>
    <t>Transferencias cheques y depósitos: configuración, evidencia y acta</t>
  </si>
  <si>
    <t>Transferencias cheques y depósitos funciona de extremo a extremo y contabiliza correctamente.</t>
  </si>
  <si>
    <t>Finalizar IMP-153</t>
  </si>
  <si>
    <t>IMP-155</t>
  </si>
  <si>
    <t>Prueba de efectivo cuatro columnas</t>
  </si>
  <si>
    <t>Configurar y validar: Prueba de efectivo cuatro columnas</t>
  </si>
  <si>
    <t>1) Levantar política para Prueba de efectivo cuatro columnas. 2) Preparar datos. 3) Parametrizar por filial. 4) Probar escenario normal, excepción y multimoneda cuando aplique. 5) Conciliar impacto y aprobar.</t>
  </si>
  <si>
    <t>Prueba de efectivo cuatro columnas: configuración, evidencia y acta</t>
  </si>
  <si>
    <t>Prueba de efectivo cuatro columnas funciona de extremo a extremo y contabiliza correctamente.</t>
  </si>
  <si>
    <t>Finalizar IMP-154</t>
  </si>
  <si>
    <t>IMP-156</t>
  </si>
  <si>
    <t>Cierre de conciliación</t>
  </si>
  <si>
    <t>Configurar y validar: Cierre de conciliación</t>
  </si>
  <si>
    <t>1) Levantar política para Cierre de conciliación. 2) Preparar datos. 3) Parametrizar por filial. 4) Probar escenario normal, excepción y multimoneda cuando aplique. 5) Conciliar impacto y aprobar.</t>
  </si>
  <si>
    <t>Cierre de conciliación: configuración, evidencia y acta</t>
  </si>
  <si>
    <t>Cierre de conciliación funciona de extremo a extremo y contabiliza correctamente.</t>
  </si>
  <si>
    <t>Finalizar IMP-155</t>
  </si>
  <si>
    <t>IMP-157</t>
  </si>
  <si>
    <t>Solicitudes de pago CxP</t>
  </si>
  <si>
    <t>Configurar y validar: Solicitudes de pago CxP</t>
  </si>
  <si>
    <t>1) Levantar política para Solicitudes de pago CxP. 2) Preparar datos. 3) Parametrizar por filial. 4) Probar escenario normal, excepción y multimoneda cuando aplique. 5) Conciliar impacto y aprobar.</t>
  </si>
  <si>
    <t>Solicitudes de pago CxP: configuración, evidencia y acta</t>
  </si>
  <si>
    <t>Solicitudes de pago CxP funciona de extremo a extremo y contabiliza correctamente.</t>
  </si>
  <si>
    <t>IMP-158</t>
  </si>
  <si>
    <t>Otros pagos por imputación directa</t>
  </si>
  <si>
    <t>Configurar y validar: Otros pagos por imputación directa</t>
  </si>
  <si>
    <t>1) Levantar política para Otros pagos por imputación directa. 2) Preparar datos. 3) Parametrizar por filial. 4) Probar escenario normal, excepción y multimoneda cuando aplique. 5) Conciliar impacto y aprobar.</t>
  </si>
  <si>
    <t>Otros pagos por imputación directa: configuración, evidencia y acta</t>
  </si>
  <si>
    <t>Otros pagos por imputación directa funciona de extremo a extremo y contabiliza correctamente.</t>
  </si>
  <si>
    <t>Finalizar IMP-157</t>
  </si>
  <si>
    <t>IMP-159</t>
  </si>
  <si>
    <t>Pagos a agencias tributarias</t>
  </si>
  <si>
    <t>Configurar y validar: Pagos a agencias tributarias</t>
  </si>
  <si>
    <t>1) Levantar política para Pagos a agencias tributarias. 2) Preparar datos. 3) Parametrizar por filial. 4) Probar escenario normal, excepción y multimoneda cuando aplique. 5) Conciliar impacto y aprobar.</t>
  </si>
  <si>
    <t>Pagos a agencias tributarias: configuración, evidencia y acta</t>
  </si>
  <si>
    <t>Pagos a agencias tributarias funciona de extremo a extremo y contabiliza correctamente.</t>
  </si>
  <si>
    <t>Finalizar IMP-158</t>
  </si>
  <si>
    <t>IMP-160</t>
  </si>
  <si>
    <t>Dimensiones por línea</t>
  </si>
  <si>
    <t>Configurar y validar: Dimensiones por línea</t>
  </si>
  <si>
    <t>1) Levantar política para Dimensiones por línea. 2) Preparar datos. 3) Parametrizar por filial. 4) Probar escenario normal, excepción y multimoneda cuando aplique. 5) Conciliar impacto y aprobar.</t>
  </si>
  <si>
    <t>Dimensiones por línea: configuración, evidencia y acta</t>
  </si>
  <si>
    <t>Dimensiones por línea funciona de extremo a extremo y contabiliza correctamente.</t>
  </si>
  <si>
    <t>Finalizar IMP-159</t>
  </si>
  <si>
    <t>IMP-161</t>
  </si>
  <si>
    <t>Aprobación de solicitudes</t>
  </si>
  <si>
    <t>Configurar y validar: Aprobación de solicitudes</t>
  </si>
  <si>
    <t>1) Levantar política para Aprobación de solicitudes. 2) Preparar datos. 3) Parametrizar por filial. 4) Probar escenario normal, excepción y multimoneda cuando aplique. 5) Conciliar impacto y aprobar.</t>
  </si>
  <si>
    <t>Aprobación de solicitudes: configuración, evidencia y acta</t>
  </si>
  <si>
    <t>Aprobación de solicitudes funciona de extremo a extremo y contabiliza correctamente.</t>
  </si>
  <si>
    <t>Finalizar IMP-160</t>
  </si>
  <si>
    <t>IMP-162</t>
  </si>
  <si>
    <t>Pagos a proveedores</t>
  </si>
  <si>
    <t>Configurar y validar: Pagos a proveedores</t>
  </si>
  <si>
    <t>1) Levantar política para Pagos a proveedores. 2) Preparar datos. 3) Parametrizar por filial. 4) Probar escenario normal, excepción y multimoneda cuando aplique. 5) Conciliar impacto y aprobar.</t>
  </si>
  <si>
    <t>Pagos a proveedores: configuración, evidencia y acta</t>
  </si>
  <si>
    <t>Pagos a proveedores funciona de extremo a extremo y contabiliza correctamente.</t>
  </si>
  <si>
    <t>Finalizar IMP-161</t>
  </si>
  <si>
    <t>IMP-163</t>
  </si>
  <si>
    <t>Archivos de pago masivo</t>
  </si>
  <si>
    <t>Configurar y validar: Archivos de pago masivo</t>
  </si>
  <si>
    <t>1) Levantar política para Archivos de pago masivo. 2) Preparar datos. 3) Parametrizar por filial. 4) Probar escenario normal, excepción y multimoneda cuando aplique. 5) Conciliar impacto y aprobar.</t>
  </si>
  <si>
    <t>Archivos de pago masivo: configuración, evidencia y acta</t>
  </si>
  <si>
    <t>Archivos de pago masivo funciona de extremo a extremo y contabiliza correctamente.</t>
  </si>
  <si>
    <t>Finalizar IMP-162</t>
  </si>
  <si>
    <t>IMP-164</t>
  </si>
  <si>
    <t>Historial de lotes</t>
  </si>
  <si>
    <t>Configurar y validar: Historial de lotes</t>
  </si>
  <si>
    <t>1) Levantar política para Historial de lotes. 2) Preparar datos. 3) Parametrizar por filial. 4) Probar escenario normal, excepción y multimoneda cuando aplique. 5) Conciliar impacto y aprobar.</t>
  </si>
  <si>
    <t>Historial de lotes: configuración, evidencia y acta</t>
  </si>
  <si>
    <t>Historial de lotes funciona de extremo a extremo y contabiliza correctamente.</t>
  </si>
  <si>
    <t>Finalizar IMP-163</t>
  </si>
  <si>
    <t>IMP-165</t>
  </si>
  <si>
    <t>Cajas aperturas y cierres</t>
  </si>
  <si>
    <t>Configurar y validar: Cajas aperturas y cierres</t>
  </si>
  <si>
    <t>1) Levantar política para Cajas aperturas y cierres. 2) Preparar datos. 3) Parametrizar por filial. 4) Probar escenario normal, excepción y multimoneda cuando aplique. 5) Conciliar impacto y aprobar.</t>
  </si>
  <si>
    <t>Cajas aperturas y cierres: configuración, evidencia y acta</t>
  </si>
  <si>
    <t>Cajas aperturas y cierres funciona de extremo a extremo y contabiliza correctamente.</t>
  </si>
  <si>
    <t>Finalizar IMP-164</t>
  </si>
  <si>
    <t>IMP-166</t>
  </si>
  <si>
    <t>Transferencias entre cajas</t>
  </si>
  <si>
    <t>Configurar y validar: Transferencias entre cajas</t>
  </si>
  <si>
    <t>1) Levantar política para Transferencias entre cajas. 2) Preparar datos. 3) Parametrizar por filial. 4) Probar escenario normal, excepción y multimoneda cuando aplique. 5) Conciliar impacto y aprobar.</t>
  </si>
  <si>
    <t>Transferencias entre cajas: configuración, evidencia y acta</t>
  </si>
  <si>
    <t>Transferencias entre cajas funciona de extremo a extremo y contabiliza correctamente.</t>
  </si>
  <si>
    <t>Finalizar IMP-165</t>
  </si>
  <si>
    <t>IMP-167</t>
  </si>
  <si>
    <t>Posición de efectivo</t>
  </si>
  <si>
    <t>Configurar y validar: Posición de efectivo</t>
  </si>
  <si>
    <t>1) Levantar política para Posición de efectivo. 2) Preparar datos. 3) Parametrizar por filial. 4) Probar escenario normal, excepción y multimoneda cuando aplique. 5) Conciliar impacto y aprobar.</t>
  </si>
  <si>
    <t>Posición de efectivo: configuración, evidencia y acta</t>
  </si>
  <si>
    <t>Posición de efectivo funciona de extremo a extremo y contabiliza correctamente.</t>
  </si>
  <si>
    <t>Finalizar IMP-166</t>
  </si>
  <si>
    <t>IMP-168</t>
  </si>
  <si>
    <t>Categorías y cuentas</t>
  </si>
  <si>
    <t>Configurar y validar: Categorías y cuentas</t>
  </si>
  <si>
    <t>1) Levantar política para Categorías y cuentas. 2) Preparar datos. 3) Parametrizar por filial. 4) Probar escenario normal, excepción y multimoneda cuando aplique. 5) Conciliar impacto y aprobar.</t>
  </si>
  <si>
    <t>Categorías y cuentas: configuración, evidencia y acta</t>
  </si>
  <si>
    <t>Categorías y cuentas funciona de extremo a extremo y contabiliza correctamente.</t>
  </si>
  <si>
    <t>IMP-169</t>
  </si>
  <si>
    <t>Métodos vida útil y residual</t>
  </si>
  <si>
    <t>Configurar y validar: Métodos vida útil y residual</t>
  </si>
  <si>
    <t>1) Levantar política para Métodos vida útil y residual. 2) Preparar datos. 3) Parametrizar por filial. 4) Probar escenario normal, excepción y multimoneda cuando aplique. 5) Conciliar impacto y aprobar.</t>
  </si>
  <si>
    <t>Métodos vida útil y residual: configuración, evidencia y acta</t>
  </si>
  <si>
    <t>Métodos vida útil y residual funciona de extremo a extremo y contabiliza correctamente.</t>
  </si>
  <si>
    <t>Finalizar IMP-168</t>
  </si>
  <si>
    <t>IMP-170</t>
  </si>
  <si>
    <t>Alta manual y desde factura</t>
  </si>
  <si>
    <t>Configurar y validar: Alta manual y desde factura</t>
  </si>
  <si>
    <t>1) Levantar política para Alta manual y desde factura. 2) Preparar datos. 3) Parametrizar por filial. 4) Probar escenario normal, excepción y multimoneda cuando aplique. 5) Conciliar impacto y aprobar.</t>
  </si>
  <si>
    <t>Alta manual y desde factura: configuración, evidencia y acta</t>
  </si>
  <si>
    <t>Alta manual y desde factura funciona de extremo a extremo y contabiliza correctamente.</t>
  </si>
  <si>
    <t>Finalizar IMP-169</t>
  </si>
  <si>
    <t>IMP-171</t>
  </si>
  <si>
    <t>Fecha en servicio</t>
  </si>
  <si>
    <t>Configurar y validar: Fecha en servicio</t>
  </si>
  <si>
    <t>1) Levantar política para Fecha en servicio. 2) Preparar datos. 3) Parametrizar por filial. 4) Probar escenario normal, excepción y multimoneda cuando aplique. 5) Conciliar impacto y aprobar.</t>
  </si>
  <si>
    <t>Fecha en servicio: configuración, evidencia y acta</t>
  </si>
  <si>
    <t>Fecha en servicio funciona de extremo a extremo y contabiliza correctamente.</t>
  </si>
  <si>
    <t>Finalizar IMP-170</t>
  </si>
  <si>
    <t>IMP-172</t>
  </si>
  <si>
    <t>Propuestas de capitalización</t>
  </si>
  <si>
    <t>Configurar y validar: Propuestas de capitalización</t>
  </si>
  <si>
    <t>1) Levantar política para Propuestas de capitalización. 2) Preparar datos. 3) Parametrizar por filial. 4) Probar escenario normal, excepción y multimoneda cuando aplique. 5) Conciliar impacto y aprobar.</t>
  </si>
  <si>
    <t>Propuestas de capitalización: configuración, evidencia y acta</t>
  </si>
  <si>
    <t>Propuestas de capitalización funciona de extremo a extremo y contabiliza correctamente.</t>
  </si>
  <si>
    <t>Finalizar IMP-171</t>
  </si>
  <si>
    <t>IMP-173</t>
  </si>
  <si>
    <t>Auxiliar histórico</t>
  </si>
  <si>
    <t>Configurar y validar: Auxiliar histórico</t>
  </si>
  <si>
    <t>1) Levantar política para Auxiliar histórico. 2) Preparar datos. 3) Parametrizar por filial. 4) Probar escenario normal, excepción y multimoneda cuando aplique. 5) Conciliar impacto y aprobar.</t>
  </si>
  <si>
    <t>Auxiliar histórico: configuración, evidencia y acta</t>
  </si>
  <si>
    <t>Auxiliar histórico funciona de extremo a extremo y contabiliza correctamente.</t>
  </si>
  <si>
    <t>Finalizar IMP-172</t>
  </si>
  <si>
    <t>IMP-174</t>
  </si>
  <si>
    <t>Depreciación e idempotencia</t>
  </si>
  <si>
    <t>Configurar y validar: Depreciación e idempotencia</t>
  </si>
  <si>
    <t>1) Levantar política para Depreciación e idempotencia. 2) Preparar datos. 3) Parametrizar por filial. 4) Probar escenario normal, excepción y multimoneda cuando aplique. 5) Conciliar impacto y aprobar.</t>
  </si>
  <si>
    <t>Depreciación e idempotencia: configuración, evidencia y acta</t>
  </si>
  <si>
    <t>Depreciación e idempotencia funciona de extremo a extremo y contabiliza correctamente.</t>
  </si>
  <si>
    <t>Finalizar IMP-173</t>
  </si>
  <si>
    <t>IMP-175</t>
  </si>
  <si>
    <t>Transferencias</t>
  </si>
  <si>
    <t>Configurar y validar: Transferencias</t>
  </si>
  <si>
    <t>1) Levantar política para Transferencias. 2) Preparar datos. 3) Parametrizar por filial. 4) Probar escenario normal, excepción y multimoneda cuando aplique. 5) Conciliar impacto y aprobar.</t>
  </si>
  <si>
    <t>Transferencias: configuración, evidencia y acta</t>
  </si>
  <si>
    <t>Transferencias funciona de extremo a extremo y contabiliza correctamente.</t>
  </si>
  <si>
    <t>Finalizar IMP-174</t>
  </si>
  <si>
    <t>IMP-176</t>
  </si>
  <si>
    <t>Mantenimientos</t>
  </si>
  <si>
    <t>Configurar y validar: Mantenimientos</t>
  </si>
  <si>
    <t>1) Levantar política para Mantenimientos. 2) Preparar datos. 3) Parametrizar por filial. 4) Probar escenario normal, excepción y multimoneda cuando aplique. 5) Conciliar impacto y aprobar.</t>
  </si>
  <si>
    <t>Mantenimientos: configuración, evidencia y acta</t>
  </si>
  <si>
    <t>Mantenimientos funciona de extremo a extremo y contabiliza correctamente.</t>
  </si>
  <si>
    <t>Finalizar IMP-175</t>
  </si>
  <si>
    <t>IMP-177</t>
  </si>
  <si>
    <t>Deterioros bajas y ventas</t>
  </si>
  <si>
    <t>Configurar y validar: Deterioros bajas y ventas</t>
  </si>
  <si>
    <t>1) Levantar política para Deterioros bajas y ventas. 2) Preparar datos. 3) Parametrizar por filial. 4) Probar escenario normal, excepción y multimoneda cuando aplique. 5) Conciliar impacto y aprobar.</t>
  </si>
  <si>
    <t>Deterioros bajas y ventas: configuración, evidencia y acta</t>
  </si>
  <si>
    <t>Deterioros bajas y ventas funciona de extremo a extremo y contabiliza correctamente.</t>
  </si>
  <si>
    <t>Finalizar IMP-176</t>
  </si>
  <si>
    <t>IMP-178</t>
  </si>
  <si>
    <t>Reportes y conciliación</t>
  </si>
  <si>
    <t>Configurar y validar: Reportes y conciliación</t>
  </si>
  <si>
    <t>1) Levantar política para Reportes y conciliación. 2) Preparar datos. 3) Parametrizar por filial. 4) Probar escenario normal, excepción y multimoneda cuando aplique. 5) Conciliar impacto y aprobar.</t>
  </si>
  <si>
    <t>Reportes y conciliación: configuración, evidencia y acta</t>
  </si>
  <si>
    <t>Reportes y conciliación funciona de extremo a extremo y contabiliza correctamente.</t>
  </si>
  <si>
    <t>Finalizar IMP-177</t>
  </si>
  <si>
    <t>IMP-179</t>
  </si>
  <si>
    <t>Categorías marcas grupos y tipos</t>
  </si>
  <si>
    <t>Configurar y validar: Categorías marcas grupos y tipos</t>
  </si>
  <si>
    <t>1) Levantar política para Categorías marcas grupos y tipos. 2) Preparar datos. 3) Parametrizar por filial. 4) Probar escenario normal, excepción y multimoneda cuando aplique. 5) Conciliar impacto y aprobar.</t>
  </si>
  <si>
    <t>Categorías marcas grupos y tipos: configuración, evidencia y acta</t>
  </si>
  <si>
    <t>Categorías marcas grupos y tipos funciona de extremo a extremo y contabiliza correctamente.</t>
  </si>
  <si>
    <t>Inventario / Operaciones</t>
  </si>
  <si>
    <t>IMP-180</t>
  </si>
  <si>
    <t>Productos y UOM</t>
  </si>
  <si>
    <t>Configurar y validar: Productos y UOM</t>
  </si>
  <si>
    <t>1) Levantar política para Productos y UOM. 2) Preparar datos. 3) Parametrizar por filial. 4) Probar escenario normal, excepción y multimoneda cuando aplique. 5) Conciliar impacto y aprobar.</t>
  </si>
  <si>
    <t>Productos y UOM: configuración, evidencia y acta</t>
  </si>
  <si>
    <t>Productos y UOM funciona de extremo a extremo y contabiliza correctamente.</t>
  </si>
  <si>
    <t>Finalizar IMP-179</t>
  </si>
  <si>
    <t>IMP-181</t>
  </si>
  <si>
    <t>Productos por filial</t>
  </si>
  <si>
    <t>Configurar y validar: Productos por filial</t>
  </si>
  <si>
    <t>1) Levantar política para Productos por filial. 2) Preparar datos. 3) Parametrizar por filial. 4) Probar escenario normal, excepción y multimoneda cuando aplique. 5) Conciliar impacto y aprobar.</t>
  </si>
  <si>
    <t>Productos por filial: configuración, evidencia y acta</t>
  </si>
  <si>
    <t>Productos por filial funciona de extremo a extremo y contabiliza correctamente.</t>
  </si>
  <si>
    <t>Finalizar IMP-180</t>
  </si>
  <si>
    <t>IMP-182</t>
  </si>
  <si>
    <t>Proveedores por producto</t>
  </si>
  <si>
    <t>Configurar y validar: Proveedores por producto</t>
  </si>
  <si>
    <t>1) Levantar política para Proveedores por producto. 2) Preparar datos. 3) Parametrizar por filial. 4) Probar escenario normal, excepción y multimoneda cuando aplique. 5) Conciliar impacto y aprobar.</t>
  </si>
  <si>
    <t>Proveedores por producto: configuración, evidencia y acta</t>
  </si>
  <si>
    <t>Proveedores por producto funciona de extremo a extremo y contabiliza correctamente.</t>
  </si>
  <si>
    <t>Finalizar IMP-181</t>
  </si>
  <si>
    <t>IMP-183</t>
  </si>
  <si>
    <t>Imágenes y códigos de barra</t>
  </si>
  <si>
    <t>Configurar y validar: Imágenes y códigos de barra</t>
  </si>
  <si>
    <t>1) Levantar política para Imágenes y códigos de barra. 2) Preparar datos. 3) Parametrizar por filial. 4) Probar escenario normal, excepción y multimoneda cuando aplique. 5) Conciliar impacto y aprobar.</t>
  </si>
  <si>
    <t>Imágenes y códigos de barra: configuración, evidencia y acta</t>
  </si>
  <si>
    <t>Imágenes y códigos de barra funciona de extremo a extremo y contabiliza correctamente.</t>
  </si>
  <si>
    <t>Finalizar IMP-182</t>
  </si>
  <si>
    <t>IMP-184</t>
  </si>
  <si>
    <t>Almacenes zonas y bins</t>
  </si>
  <si>
    <t>Configurar y validar: Almacenes zonas y bins</t>
  </si>
  <si>
    <t>1) Levantar política para Almacenes zonas y bins. 2) Preparar datos. 3) Parametrizar por filial. 4) Probar escenario normal, excepción y multimoneda cuando aplique. 5) Conciliar impacto y aprobar.</t>
  </si>
  <si>
    <t>Almacenes zonas y bins: configuración, evidencia y acta</t>
  </si>
  <si>
    <t>Almacenes zonas y bins funciona de extremo a extremo y contabiliza correctamente.</t>
  </si>
  <si>
    <t>Finalizar IMP-183</t>
  </si>
  <si>
    <t>IMP-185</t>
  </si>
  <si>
    <t>Existencias iniciales</t>
  </si>
  <si>
    <t>Configurar y validar: Existencias iniciales</t>
  </si>
  <si>
    <t>1) Levantar política para Existencias iniciales. 2) Preparar datos. 3) Parametrizar por filial. 4) Probar escenario normal, excepción y multimoneda cuando aplique. 5) Conciliar impacto y aprobar.</t>
  </si>
  <si>
    <t>Existencias iniciales: configuración, evidencia y acta</t>
  </si>
  <si>
    <t>Existencias iniciales funciona de extremo a extremo y contabiliza correctamente.</t>
  </si>
  <si>
    <t>Finalizar IMP-184</t>
  </si>
  <si>
    <t>IMP-186</t>
  </si>
  <si>
    <t>Lotes y series</t>
  </si>
  <si>
    <t>Configurar y validar: Lotes y series</t>
  </si>
  <si>
    <t>1) Levantar política para Lotes y series. 2) Preparar datos. 3) Parametrizar por filial. 4) Probar escenario normal, excepción y multimoneda cuando aplique. 5) Conciliar impacto y aprobar.</t>
  </si>
  <si>
    <t>Lotes y series: configuración, evidencia y acta</t>
  </si>
  <si>
    <t>Lotes y series funciona de extremo a extremo y contabiliza correctamente.</t>
  </si>
  <si>
    <t>Finalizar IMP-185</t>
  </si>
  <si>
    <t>IMP-187</t>
  </si>
  <si>
    <t>Entradas y salidas</t>
  </si>
  <si>
    <t>Configurar y validar: Entradas y salidas</t>
  </si>
  <si>
    <t>1) Levantar política para Entradas y salidas. 2) Preparar datos. 3) Parametrizar por filial. 4) Probar escenario normal, excepción y multimoneda cuando aplique. 5) Conciliar impacto y aprobar.</t>
  </si>
  <si>
    <t>Entradas y salidas: configuración, evidencia y acta</t>
  </si>
  <si>
    <t>Entradas y salidas funciona de extremo a extremo y contabiliza correctamente.</t>
  </si>
  <si>
    <t>Finalizar IMP-186</t>
  </si>
  <si>
    <t>IMP-188</t>
  </si>
  <si>
    <t>Transferencias y ajustes</t>
  </si>
  <si>
    <t>Configurar y validar: Transferencias y ajustes</t>
  </si>
  <si>
    <t>1) Levantar política para Transferencias y ajustes. 2) Preparar datos. 3) Parametrizar por filial. 4) Probar escenario normal, excepción y multimoneda cuando aplique. 5) Conciliar impacto y aprobar.</t>
  </si>
  <si>
    <t>Transferencias y ajustes: configuración, evidencia y acta</t>
  </si>
  <si>
    <t>Transferencias y ajustes funciona de extremo a extremo y contabiliza correctamente.</t>
  </si>
  <si>
    <t>Finalizar IMP-187</t>
  </si>
  <si>
    <t>IMP-189</t>
  </si>
  <si>
    <t>Reservas</t>
  </si>
  <si>
    <t>Configurar y validar: Reservas</t>
  </si>
  <si>
    <t>1) Levantar política para Reservas. 2) Preparar datos. 3) Parametrizar por filial. 4) Probar escenario normal, excepción y multimoneda cuando aplique. 5) Conciliar impacto y aprobar.</t>
  </si>
  <si>
    <t>Reservas: configuración, evidencia y acta</t>
  </si>
  <si>
    <t>Reservas funciona de extremo a extremo y contabiliza correctamente.</t>
  </si>
  <si>
    <t>Finalizar IMP-188</t>
  </si>
  <si>
    <t>IMP-190</t>
  </si>
  <si>
    <t>Valoración contable</t>
  </si>
  <si>
    <t>Configurar y validar: Valoración contable</t>
  </si>
  <si>
    <t>1) Levantar política para Valoración contable. 2) Preparar datos. 3) Parametrizar por filial. 4) Probar escenario normal, excepción y multimoneda cuando aplique. 5) Conciliar impacto y aprobar.</t>
  </si>
  <si>
    <t>Valoración contable: configuración, evidencia y acta</t>
  </si>
  <si>
    <t>Valoración contable funciona de extremo a extremo y contabiliza correctamente.</t>
  </si>
  <si>
    <t>Finalizar IMP-189</t>
  </si>
  <si>
    <t>IMP-191</t>
  </si>
  <si>
    <t>Obligaciones tributarias</t>
  </si>
  <si>
    <t>Configurar y validar: Obligaciones tributarias</t>
  </si>
  <si>
    <t>1) Definir regla y responsables de Obligaciones tributarias. 2) Configurar permisos, trazabilidad y excepciones. 3) Probar caso autorizado y no autorizado. 4) Revisar bitácora. 5) Obtener conformidad de Control Interno.</t>
  </si>
  <si>
    <t>Obligaciones tributarias: configuración, evidencia y acta</t>
  </si>
  <si>
    <t>Obligaciones tributarias permite solo acciones autorizadas y registra actor, fecha y resultado.</t>
  </si>
  <si>
    <t>Consultor fiscal</t>
  </si>
  <si>
    <t>Impuestos</t>
  </si>
  <si>
    <t>IMP-192</t>
  </si>
  <si>
    <t>Calendario y vencimientos</t>
  </si>
  <si>
    <t>Configurar y validar: Calendario y vencimientos</t>
  </si>
  <si>
    <t>1) Definir regla y responsables de Calendario y vencimientos. 2) Configurar permisos, trazabilidad y excepciones. 3) Probar caso autorizado y no autorizado. 4) Revisar bitácora. 5) Obtener conformidad de Control Interno.</t>
  </si>
  <si>
    <t>Calendario y vencimientos: configuración, evidencia y acta</t>
  </si>
  <si>
    <t>Calendario y vencimientos permite solo acciones autorizadas y registra actor, fecha y resultado.</t>
  </si>
  <si>
    <t>Finalizar IMP-191</t>
  </si>
  <si>
    <t>IMP-193</t>
  </si>
  <si>
    <t>Notificaciones fiscales</t>
  </si>
  <si>
    <t>Configurar y validar: Notificaciones fiscales</t>
  </si>
  <si>
    <t>1) Definir regla y responsables de Notificaciones fiscales. 2) Configurar permisos, trazabilidad y excepciones. 3) Probar caso autorizado y no autorizado. 4) Revisar bitácora. 5) Obtener conformidad de Control Interno.</t>
  </si>
  <si>
    <t>Notificaciones fiscales: configuración, evidencia y acta</t>
  </si>
  <si>
    <t>Notificaciones fiscales permite solo acciones autorizadas y registra actor, fecha y resultado.</t>
  </si>
  <si>
    <t>Finalizar IMP-192</t>
  </si>
  <si>
    <t>IMP-194</t>
  </si>
  <si>
    <t>IVA/GCT ventas por tarifa</t>
  </si>
  <si>
    <t>Configurar y validar: IVA/GCT ventas por tarifa</t>
  </si>
  <si>
    <t>1) Definir regla y responsables de IVA/GCT ventas por tarifa. 2) Configurar permisos, trazabilidad y excepciones. 3) Probar caso autorizado y no autorizado. 4) Revisar bitácora. 5) Obtener conformidad de Control Interno.</t>
  </si>
  <si>
    <t>IVA/GCT ventas por tarifa: configuración, evidencia y acta</t>
  </si>
  <si>
    <t>IVA/GCT ventas por tarifa permite solo acciones autorizadas y registra actor, fecha y resultado.</t>
  </si>
  <si>
    <t>Finalizar IMP-193</t>
  </si>
  <si>
    <t>IMP-195</t>
  </si>
  <si>
    <t>IVA/GCT compras por tarifa</t>
  </si>
  <si>
    <t>Configurar y validar: IVA/GCT compras por tarifa</t>
  </si>
  <si>
    <t>1) Definir regla y responsables de IVA/GCT compras por tarifa. 2) Configurar permisos, trazabilidad y excepciones. 3) Probar caso autorizado y no autorizado. 4) Revisar bitácora. 5) Obtener conformidad de Control Interno.</t>
  </si>
  <si>
    <t>IVA/GCT compras por tarifa: configuración, evidencia y acta</t>
  </si>
  <si>
    <t>IVA/GCT compras por tarifa permite solo acciones autorizadas y registra actor, fecha y resultado.</t>
  </si>
  <si>
    <t>Finalizar IMP-194</t>
  </si>
  <si>
    <t>IMP-196</t>
  </si>
  <si>
    <t>Notas de crédito débito e importaciones</t>
  </si>
  <si>
    <t>Configurar y validar: Notas de crédito débito e importaciones</t>
  </si>
  <si>
    <t>1) Definir regla y responsables de Notas de crédito débito e importaciones. 2) Configurar permisos, trazabilidad y excepciones. 3) Probar caso autorizado y no autorizado. 4) Revisar bitácora. 5) Obtener conformidad de Control Interno.</t>
  </si>
  <si>
    <t>Notas de crédito débito e importaciones: configuración, evidencia y acta</t>
  </si>
  <si>
    <t>Notas de crédito débito e importaciones permite solo acciones autorizadas y registra actor, fecha y resultado.</t>
  </si>
  <si>
    <t>Finalizar IMP-195</t>
  </si>
  <si>
    <t>IMP-197</t>
  </si>
  <si>
    <t>Retenciones y saldo a favor</t>
  </si>
  <si>
    <t>Configurar y validar: Retenciones y saldo a favor</t>
  </si>
  <si>
    <t>1) Definir regla y responsables de Retenciones y saldo a favor. 2) Configurar permisos, trazabilidad y excepciones. 3) Probar caso autorizado y no autorizado. 4) Revisar bitácora. 5) Obtener conformidad de Control Interno.</t>
  </si>
  <si>
    <t>Retenciones y saldo a favor: configuración, evidencia y acta</t>
  </si>
  <si>
    <t>Retenciones y saldo a favor permite solo acciones autorizadas y registra actor, fecha y resultado.</t>
  </si>
  <si>
    <t>Finalizar IMP-196</t>
  </si>
  <si>
    <t>IMP-198</t>
  </si>
  <si>
    <t>Posición neta</t>
  </si>
  <si>
    <t>Configurar y validar: Posición neta</t>
  </si>
  <si>
    <t>1) Definir regla y responsables de Posición neta. 2) Configurar permisos, trazabilidad y excepciones. 3) Probar caso autorizado y no autorizado. 4) Revisar bitácora. 5) Obtener conformidad de Control Interno.</t>
  </si>
  <si>
    <t>Posición neta: configuración, evidencia y acta</t>
  </si>
  <si>
    <t>Posición neta permite solo acciones autorizadas y registra actor, fecha y resultado.</t>
  </si>
  <si>
    <t>Finalizar IMP-197</t>
  </si>
  <si>
    <t>IMP-199</t>
  </si>
  <si>
    <t>Drill-down a documento y línea</t>
  </si>
  <si>
    <t>Configurar y validar: Drill-down a documento y línea</t>
  </si>
  <si>
    <t>1) Definir regla y responsables de Drill-down a documento y línea. 2) Configurar permisos, trazabilidad y excepciones. 3) Probar caso autorizado y no autorizado. 4) Revisar bitácora. 5) Obtener conformidad de Control Interno.</t>
  </si>
  <si>
    <t>Drill-down a documento y línea: configuración, evidencia y acta</t>
  </si>
  <si>
    <t>Drill-down a documento y línea permite solo acciones autorizadas y registra actor, fecha y resultado.</t>
  </si>
  <si>
    <t>Finalizar IMP-198</t>
  </si>
  <si>
    <t>IMP-200</t>
  </si>
  <si>
    <t>Balance General de ocho columnas</t>
  </si>
  <si>
    <t>Configurar y validar: Balance General de ocho columnas</t>
  </si>
  <si>
    <t>1) Definir regla y responsables de Balance General de ocho columnas. 2) Configurar permisos, trazabilidad y excepciones. 3) Probar caso autorizado y no autorizado. 4) Revisar bitácora. 5) Obtener conformidad de Control Interno.</t>
  </si>
  <si>
    <t>Balance General de ocho columnas: configuración, evidencia y acta</t>
  </si>
  <si>
    <t>Balance General de ocho columnas permite solo acciones autorizadas y registra actor, fecha y resultado.</t>
  </si>
  <si>
    <t>Finalizar IMP-199</t>
  </si>
  <si>
    <t>IMP-201</t>
  </si>
  <si>
    <t>Dimensión Compañía relacionada</t>
  </si>
  <si>
    <t>Configurar y validar: Dimensión Compañía relacionada</t>
  </si>
  <si>
    <t>1) Levantar política para Dimensión Compañía relacionada. 2) Preparar datos. 3) Parametrizar por filial. 4) Probar escenario normal, excepción y multimoneda cuando aplique. 5) Conciliar impacto y aprobar.</t>
  </si>
  <si>
    <t>Dimensión Compañía relacionada: configuración, evidencia y acta</t>
  </si>
  <si>
    <t>Dimensión Compañía relacionada funciona de extremo a extremo y contabiliza correctamente.</t>
  </si>
  <si>
    <t>Consultor de consolidación</t>
  </si>
  <si>
    <t>IMP-202</t>
  </si>
  <si>
    <t>Cuentas comerciales 113002 y 211002</t>
  </si>
  <si>
    <t>Configurar y validar: Cuentas comerciales 113002 y 211002</t>
  </si>
  <si>
    <t>1) Levantar política para Cuentas comerciales 113002 y 211002. 2) Preparar datos. 3) Parametrizar por filial. 4) Probar escenario normal, excepción y multimoneda cuando aplique. 5) Conciliar impacto y aprobar.</t>
  </si>
  <si>
    <t>Cuentas comerciales 113002 y 211002: configuración, evidencia y acta</t>
  </si>
  <si>
    <t>Cuentas comerciales 113002 y 211002 funciona de extremo a extremo y contabiliza correctamente.</t>
  </si>
  <si>
    <t>Finalizar IMP-201</t>
  </si>
  <si>
    <t>IMP-203</t>
  </si>
  <si>
    <t>Préstamos intercompany</t>
  </si>
  <si>
    <t>Configurar y validar: Préstamos intercompany</t>
  </si>
  <si>
    <t>1) Levantar política para Préstamos intercompany. 2) Preparar datos. 3) Parametrizar por filial. 4) Probar escenario normal, excepción y multimoneda cuando aplique. 5) Conciliar impacto y aprobar.</t>
  </si>
  <si>
    <t>Préstamos intercompany: configuración, evidencia y acta</t>
  </si>
  <si>
    <t>Préstamos intercompany funciona de extremo a extremo y contabiliza correctamente.</t>
  </si>
  <si>
    <t>Finalizar IMP-202</t>
  </si>
  <si>
    <t>IMP-204</t>
  </si>
  <si>
    <t>Saldos recíprocos</t>
  </si>
  <si>
    <t>Configurar y validar: Saldos recíprocos</t>
  </si>
  <si>
    <t>1) Levantar política para Saldos recíprocos. 2) Preparar datos. 3) Parametrizar por filial. 4) Probar escenario normal, excepción y multimoneda cuando aplique. 5) Conciliar impacto y aprobar.</t>
  </si>
  <si>
    <t>Saldos recíprocos: configuración, evidencia y acta</t>
  </si>
  <si>
    <t>Saldos recíprocos funciona de extremo a extremo y contabiliza correctamente.</t>
  </si>
  <si>
    <t>Finalizar IMP-203</t>
  </si>
  <si>
    <t>IMP-205</t>
  </si>
  <si>
    <t>Holding y perímetro</t>
  </si>
  <si>
    <t>Configurar y validar: Holding y perímetro</t>
  </si>
  <si>
    <t>1) Levantar política para Holding y perímetro. 2) Preparar datos. 3) Parametrizar por filial. 4) Probar escenario normal, excepción y multimoneda cuando aplique. 5) Conciliar impacto y aprobar.</t>
  </si>
  <si>
    <t>Holding y perímetro: configuración, evidencia y acta</t>
  </si>
  <si>
    <t>Holding y perímetro funciona de extremo a extremo y contabiliza correctamente.</t>
  </si>
  <si>
    <t>Finalizar IMP-204</t>
  </si>
  <si>
    <t>IMP-206</t>
  </si>
  <si>
    <t>Tasas de cierre promedio e históricas</t>
  </si>
  <si>
    <t>Configurar y validar: Tasas de cierre promedio e históricas</t>
  </si>
  <si>
    <t>1) Levantar política para Tasas de cierre promedio e históricas. 2) Preparar datos. 3) Parametrizar por filial. 4) Probar escenario normal, excepción y multimoneda cuando aplique. 5) Conciliar impacto y aprobar.</t>
  </si>
  <si>
    <t>Tasas de cierre promedio e históricas: configuración, evidencia y acta</t>
  </si>
  <si>
    <t>Tasas de cierre promedio e históricas funciona de extremo a extremo y contabiliza correctamente.</t>
  </si>
  <si>
    <t>Finalizar IMP-205</t>
  </si>
  <si>
    <t>IMP-207</t>
  </si>
  <si>
    <t>Conversión NIC 21</t>
  </si>
  <si>
    <t>Configurar y validar: Conversión NIC 21</t>
  </si>
  <si>
    <t>1) Levantar política para Conversión NIC 21. 2) Preparar datos. 3) Parametrizar por filial. 4) Probar escenario normal, excepción y multimoneda cuando aplique. 5) Conciliar impacto y aprobar.</t>
  </si>
  <si>
    <t>Conversión NIC 21: configuración, evidencia y acta</t>
  </si>
  <si>
    <t>Conversión NIC 21 funciona de extremo a extremo y contabiliza correctamente.</t>
  </si>
  <si>
    <t>Finalizar IMP-206</t>
  </si>
  <si>
    <t>IMP-208</t>
  </si>
  <si>
    <t>Eliminaciones</t>
  </si>
  <si>
    <t>Configurar y validar: Eliminaciones</t>
  </si>
  <si>
    <t>1) Levantar política para Eliminaciones. 2) Preparar datos. 3) Parametrizar por filial. 4) Probar escenario normal, excepción y multimoneda cuando aplique. 5) Conciliar impacto y aprobar.</t>
  </si>
  <si>
    <t>Eliminaciones: configuración, evidencia y acta</t>
  </si>
  <si>
    <t>Eliminaciones funciona de extremo a extremo y contabiliza correctamente.</t>
  </si>
  <si>
    <t>Finalizar IMP-207</t>
  </si>
  <si>
    <t>IMP-209</t>
  </si>
  <si>
    <t>Estados consolidados</t>
  </si>
  <si>
    <t>Configurar y validar: Estados consolidados</t>
  </si>
  <si>
    <t>1) Levantar política para Estados consolidados. 2) Preparar datos. 3) Parametrizar por filial. 4) Probar escenario normal, excepción y multimoneda cuando aplique. 5) Conciliar impacto y aprobar.</t>
  </si>
  <si>
    <t>Estados consolidados: configuración, evidencia y acta</t>
  </si>
  <si>
    <t>Estados consolidados funciona de extremo a extremo y contabiliza correctamente.</t>
  </si>
  <si>
    <t>Finalizar IMP-208</t>
  </si>
  <si>
    <t>IMP-210</t>
  </si>
  <si>
    <t>Diferencias de consolidación</t>
  </si>
  <si>
    <t>Configurar y validar: Diferencias de consolidación</t>
  </si>
  <si>
    <t>1) Levantar política para Diferencias de consolidación. 2) Preparar datos. 3) Parametrizar por filial. 4) Probar escenario normal, excepción y multimoneda cuando aplique. 5) Conciliar impacto y aprobar.</t>
  </si>
  <si>
    <t>Diferencias de consolidación: configuración, evidencia y acta</t>
  </si>
  <si>
    <t>Diferencias de consolidación funciona de extremo a extremo y contabiliza correctamente.</t>
  </si>
  <si>
    <t>Finalizar IMP-209</t>
  </si>
  <si>
    <t>IMP-211</t>
  </si>
  <si>
    <t>Carpetas</t>
  </si>
  <si>
    <t>Configurar y validar: Carpetas</t>
  </si>
  <si>
    <t>1) Definir regla y responsables de Carpetas. 2) Configurar permisos, trazabilidad y excepciones. 3) Probar caso autorizado y no autorizado. 4) Revisar bitácora. 5) Obtener conformidad de Control Interno.</t>
  </si>
  <si>
    <t>Carpetas: configuración, evidencia y acta</t>
  </si>
  <si>
    <t>Carpetas permite solo acciones autorizadas y registra actor, fecha y resultado.</t>
  </si>
  <si>
    <t>Gestión documental</t>
  </si>
  <si>
    <t>IMP-212</t>
  </si>
  <si>
    <t>Tipos extensiones y tamaños</t>
  </si>
  <si>
    <t>Configurar y validar: Tipos extensiones y tamaños</t>
  </si>
  <si>
    <t>1) Definir regla y responsables de Tipos extensiones y tamaños. 2) Configurar permisos, trazabilidad y excepciones. 3) Probar caso autorizado y no autorizado. 4) Revisar bitácora. 5) Obtener conformidad de Control Interno.</t>
  </si>
  <si>
    <t>Tipos extensiones y tamaños: configuración, evidencia y acta</t>
  </si>
  <si>
    <t>Tipos extensiones y tamaños permite solo acciones autorizadas y registra actor, fecha y resultado.</t>
  </si>
  <si>
    <t>Finalizar IMP-211</t>
  </si>
  <si>
    <t>IMP-213</t>
  </si>
  <si>
    <t>Carga y descarga</t>
  </si>
  <si>
    <t>Configurar y validar: Carga y descarga</t>
  </si>
  <si>
    <t>1) Definir regla y responsables de Carga y descarga. 2) Configurar permisos, trazabilidad y excepciones. 3) Probar caso autorizado y no autorizado. 4) Revisar bitácora. 5) Obtener conformidad de Control Interno.</t>
  </si>
  <si>
    <t>Carga y descarga: configuración, evidencia y acta</t>
  </si>
  <si>
    <t>Carga y descarga permite solo acciones autorizadas y registra actor, fecha y resultado.</t>
  </si>
  <si>
    <t>Finalizar IMP-212</t>
  </si>
  <si>
    <t>IMP-214</t>
  </si>
  <si>
    <t>Versiones</t>
  </si>
  <si>
    <t>Configurar y validar: Versiones</t>
  </si>
  <si>
    <t>1) Definir regla y responsables de Versiones. 2) Configurar permisos, trazabilidad y excepciones. 3) Probar caso autorizado y no autorizado. 4) Revisar bitácora. 5) Obtener conformidad de Control Interno.</t>
  </si>
  <si>
    <t>Versiones: configuración, evidencia y acta</t>
  </si>
  <si>
    <t>Versiones permite solo acciones autorizadas y registra actor, fecha y resultado.</t>
  </si>
  <si>
    <t>Finalizar IMP-213</t>
  </si>
  <si>
    <t>IMP-215</t>
  </si>
  <si>
    <t>Relación documento-transacción</t>
  </si>
  <si>
    <t>Configurar y validar: Relación documento-transacción</t>
  </si>
  <si>
    <t>1) Definir regla y responsables de Relación documento-transacción. 2) Configurar permisos, trazabilidad y excepciones. 3) Probar caso autorizado y no autorizado. 4) Revisar bitácora. 5) Obtener conformidad de Control Interno.</t>
  </si>
  <si>
    <t>Relación documento-transacción: configuración, evidencia y acta</t>
  </si>
  <si>
    <t>Relación documento-transacción permite solo acciones autorizadas y registra actor, fecha y resultado.</t>
  </si>
  <si>
    <t>Finalizar IMP-214</t>
  </si>
  <si>
    <t>IMP-216</t>
  </si>
  <si>
    <t>Permisos</t>
  </si>
  <si>
    <t>Configurar y validar: Permisos</t>
  </si>
  <si>
    <t>1) Definir regla y responsables de Permisos. 2) Configurar permisos, trazabilidad y excepciones. 3) Probar caso autorizado y no autorizado. 4) Revisar bitácora. 5) Obtener conformidad de Control Interno.</t>
  </si>
  <si>
    <t>Permisos: configuración, evidencia y acta</t>
  </si>
  <si>
    <t>Permisos permite solo acciones autorizadas y registra actor, fecha y resultado.</t>
  </si>
  <si>
    <t>Finalizar IMP-215</t>
  </si>
  <si>
    <t>IMP-217</t>
  </si>
  <si>
    <t>Plantillas PDF</t>
  </si>
  <si>
    <t>Configurar y validar: Plantillas PDF</t>
  </si>
  <si>
    <t>1) Definir regla y responsables de Plantillas PDF. 2) Configurar permisos, trazabilidad y excepciones. 3) Probar caso autorizado y no autorizado. 4) Revisar bitácora. 5) Obtener conformidad de Control Interno.</t>
  </si>
  <si>
    <t>Plantillas PDF: configuración, evidencia y acta</t>
  </si>
  <si>
    <t>Plantillas PDF permite solo acciones autorizadas y registra actor, fecha y resultado.</t>
  </si>
  <si>
    <t>Finalizar IMP-216</t>
  </si>
  <si>
    <t>IMP-218</t>
  </si>
  <si>
    <t>Retención y respaldo</t>
  </si>
  <si>
    <t>Configurar y validar: Retención y respaldo</t>
  </si>
  <si>
    <t>1) Definir regla y responsables de Retención y respaldo. 2) Configurar permisos, trazabilidad y excepciones. 3) Probar caso autorizado y no autorizado. 4) Revisar bitácora. 5) Obtener conformidad de Control Interno.</t>
  </si>
  <si>
    <t>Retención y respaldo: configuración, evidencia y acta</t>
  </si>
  <si>
    <t>Retención y respaldo permite solo acciones autorizadas y registra actor, fecha y resultado.</t>
  </si>
  <si>
    <t>Finalizar IMP-217</t>
  </si>
  <si>
    <t>IMP-219</t>
  </si>
  <si>
    <t>5. Control y analítica</t>
  </si>
  <si>
    <t>Bitácora general</t>
  </si>
  <si>
    <t>Configurar y validar: Bitácora general</t>
  </si>
  <si>
    <t>1) Definir regla y responsables de Bitácora general. 2) Configurar permisos, trazabilidad y excepciones. 3) Probar caso autorizado y no autorizado. 4) Revisar bitácora. 5) Obtener conformidad de Control Interno.</t>
  </si>
  <si>
    <t>Bitácora general: configuración, evidencia y acta</t>
  </si>
  <si>
    <t>Bitácora general permite solo acciones autorizadas y registra actor, fecha y resultado.</t>
  </si>
  <si>
    <t>Auditoría interna</t>
  </si>
  <si>
    <t>IMP-220</t>
  </si>
  <si>
    <t>Autoría humana sistema API e IA</t>
  </si>
  <si>
    <t>Configurar y validar: Autoría humana sistema API e IA</t>
  </si>
  <si>
    <t>1) Definir regla y responsables de Autoría humana sistema API e IA. 2) Configurar permisos, trazabilidad y excepciones. 3) Probar caso autorizado y no autorizado. 4) Revisar bitácora. 5) Obtener conformidad de Control Interno.</t>
  </si>
  <si>
    <t>Autoría humana sistema API e IA: configuración, evidencia y acta</t>
  </si>
  <si>
    <t>Autoría humana sistema API e IA permite solo acciones autorizadas y registra actor, fecha y resultado.</t>
  </si>
  <si>
    <t>Finalizar IMP-219</t>
  </si>
  <si>
    <t>IMP-221</t>
  </si>
  <si>
    <t>Cambios por campo</t>
  </si>
  <si>
    <t>Configurar y validar: Cambios por campo</t>
  </si>
  <si>
    <t>1) Definir regla y responsables de Cambios por campo. 2) Configurar permisos, trazabilidad y excepciones. 3) Probar caso autorizado y no autorizado. 4) Revisar bitácora. 5) Obtener conformidad de Control Interno.</t>
  </si>
  <si>
    <t>Cambios por campo: configuración, evidencia y acta</t>
  </si>
  <si>
    <t>Cambios por campo permite solo acciones autorizadas y registra actor, fecha y resultado.</t>
  </si>
  <si>
    <t>Finalizar IMP-220</t>
  </si>
  <si>
    <t>IMP-222</t>
  </si>
  <si>
    <t>Eventos del sistema</t>
  </si>
  <si>
    <t>Configurar y validar: Eventos del sistema</t>
  </si>
  <si>
    <t>1) Definir regla y responsables de Eventos del sistema. 2) Configurar permisos, trazabilidad y excepciones. 3) Probar caso autorizado y no autorizado. 4) Revisar bitácora. 5) Obtener conformidad de Control Interno.</t>
  </si>
  <si>
    <t>Eventos del sistema: configuración, evidencia y acta</t>
  </si>
  <si>
    <t>Eventos del sistema permite solo acciones autorizadas y registra actor, fecha y resultado.</t>
  </si>
  <si>
    <t>Finalizar IMP-221</t>
  </si>
  <si>
    <t>IMP-223</t>
  </si>
  <si>
    <t>Actividad de usuarios</t>
  </si>
  <si>
    <t>Configurar y validar: Actividad de usuarios</t>
  </si>
  <si>
    <t>1) Definir regla y responsables de Actividad de usuarios. 2) Configurar permisos, trazabilidad y excepciones. 3) Probar caso autorizado y no autorizado. 4) Revisar bitácora. 5) Obtener conformidad de Control Interno.</t>
  </si>
  <si>
    <t>Actividad de usuarios: configuración, evidencia y acta</t>
  </si>
  <si>
    <t>Actividad de usuarios permite solo acciones autorizadas y registra actor, fecha y resultado.</t>
  </si>
  <si>
    <t>Finalizar IMP-222</t>
  </si>
  <si>
    <t>IMP-224</t>
  </si>
  <si>
    <t>Registros eliminados</t>
  </si>
  <si>
    <t>Configurar y validar: Registros eliminados</t>
  </si>
  <si>
    <t>1) Definir regla y responsables de Registros eliminados. 2) Configurar permisos, trazabilidad y excepciones. 3) Probar caso autorizado y no autorizado. 4) Revisar bitácora. 5) Obtener conformidad de Control Interno.</t>
  </si>
  <si>
    <t>Registros eliminados: configuración, evidencia y acta</t>
  </si>
  <si>
    <t>Registros eliminados permite solo acciones autorizadas y registra actor, fecha y resultado.</t>
  </si>
  <si>
    <t>Finalizar IMP-223</t>
  </si>
  <si>
    <t>IMP-225</t>
  </si>
  <si>
    <t>Reporte mensual modificados/eliminados</t>
  </si>
  <si>
    <t>Configurar y validar: Reporte mensual modificados/eliminados</t>
  </si>
  <si>
    <t>1) Definir regla y responsables de Reporte mensual modificados/eliminados. 2) Configurar permisos, trazabilidad y excepciones. 3) Probar caso autorizado y no autorizado. 4) Revisar bitácora. 5) Obtener conformidad de Control Interno.</t>
  </si>
  <si>
    <t>Reporte mensual modificados/eliminados: configuración, evidencia y acta</t>
  </si>
  <si>
    <t>Reporte mensual modificados/eliminados permite solo acciones autorizadas y registra actor, fecha y resultado.</t>
  </si>
  <si>
    <t>Finalizar IMP-224</t>
  </si>
  <si>
    <t>IMP-226</t>
  </si>
  <si>
    <t>Indicadores de calidad</t>
  </si>
  <si>
    <t>Configurar y validar: Indicadores de calidad</t>
  </si>
  <si>
    <t>1) Definir regla y responsables de Indicadores de calidad. 2) Configurar permisos, trazabilidad y excepciones. 3) Probar caso autorizado y no autorizado. 4) Revisar bitácora. 5) Obtener conformidad de Control Interno.</t>
  </si>
  <si>
    <t>Indicadores de calidad: configuración, evidencia y acta</t>
  </si>
  <si>
    <t>Indicadores de calidad permite solo acciones autorizadas y registra actor, fecha y resultado.</t>
  </si>
  <si>
    <t>Finalizar IMP-225</t>
  </si>
  <si>
    <t>IMP-227</t>
  </si>
  <si>
    <t>Balance de Comprobación</t>
  </si>
  <si>
    <t>Validar: Balance de Comprobación</t>
  </si>
  <si>
    <t>1) Preparar datos para Balance de Comprobación. 2) Ejecutar con el rol indicado. 3) Comparar con la fuente y el Mayor. 4) Registrar y corregir defectos. 5) Repetir y aprobar.</t>
  </si>
  <si>
    <t>Balance de Comprobación: configuración, evidencia y acta</t>
  </si>
  <si>
    <t>Balance de Comprobación coincide al centavo con la fuente o el Mayor y no tiene defectos críticos.</t>
  </si>
  <si>
    <t>Contabilidad / Gerencia</t>
  </si>
  <si>
    <t>IMP-228</t>
  </si>
  <si>
    <t>Libro Mayor</t>
  </si>
  <si>
    <t>Validar: Libro Mayor</t>
  </si>
  <si>
    <t>1) Preparar datos para Libro Mayor. 2) Ejecutar con el rol indicado. 3) Comparar con la fuente y el Mayor. 4) Registrar y corregir defectos. 5) Repetir y aprobar.</t>
  </si>
  <si>
    <t>Libro Mayor: configuración, evidencia y acta</t>
  </si>
  <si>
    <t>Libro Mayor coincide al centavo con la fuente o el Mayor y no tiene defectos críticos.</t>
  </si>
  <si>
    <t>Finalizar IMP-227</t>
  </si>
  <si>
    <t>IMP-229</t>
  </si>
  <si>
    <t>Libro Diario</t>
  </si>
  <si>
    <t>Validar: Libro Diario</t>
  </si>
  <si>
    <t>1) Preparar datos para Libro Diario. 2) Ejecutar con el rol indicado. 3) Comparar con la fuente y el Mayor. 4) Registrar y corregir defectos. 5) Repetir y aprobar.</t>
  </si>
  <si>
    <t>Libro Diario: configuración, evidencia y acta</t>
  </si>
  <si>
    <t>Libro Diario coincide al centavo con la fuente o el Mayor y no tiene defectos críticos.</t>
  </si>
  <si>
    <t>Finalizar IMP-228</t>
  </si>
  <si>
    <t>IMP-230</t>
  </si>
  <si>
    <t>Estado de Situación Financiera</t>
  </si>
  <si>
    <t>Validar: Estado de Situación Financiera</t>
  </si>
  <si>
    <t>1) Preparar datos para Estado de Situación Financiera. 2) Ejecutar con el rol indicado. 3) Comparar con la fuente y el Mayor. 4) Registrar y corregir defectos. 5) Repetir y aprobar.</t>
  </si>
  <si>
    <t>Estado de Situación Financiera: configuración, evidencia y acta</t>
  </si>
  <si>
    <t>Estado de Situación Financiera coincide al centavo con la fuente o el Mayor y no tiene defectos críticos.</t>
  </si>
  <si>
    <t>Finalizar IMP-229</t>
  </si>
  <si>
    <t>IMP-231</t>
  </si>
  <si>
    <t>Estado de Resultados Integral</t>
  </si>
  <si>
    <t>Validar: Estado de Resultados Integral</t>
  </si>
  <si>
    <t>1) Preparar datos para Estado de Resultados Integral. 2) Ejecutar con el rol indicado. 3) Comparar con la fuente y el Mayor. 4) Registrar y corregir defectos. 5) Repetir y aprobar.</t>
  </si>
  <si>
    <t>Estado de Resultados Integral: configuración, evidencia y acta</t>
  </si>
  <si>
    <t>Estado de Resultados Integral coincide al centavo con la fuente o el Mayor y no tiene defectos críticos.</t>
  </si>
  <si>
    <t>Finalizar IMP-230</t>
  </si>
  <si>
    <t>IMP-232</t>
  </si>
  <si>
    <t>Flujo de Efectivo</t>
  </si>
  <si>
    <t>Validar: Flujo de Efectivo</t>
  </si>
  <si>
    <t>1) Preparar datos para Flujo de Efectivo. 2) Ejecutar con el rol indicado. 3) Comparar con la fuente y el Mayor. 4) Registrar y corregir defectos. 5) Repetir y aprobar.</t>
  </si>
  <si>
    <t>Flujo de Efectivo: configuración, evidencia y acta</t>
  </si>
  <si>
    <t>Flujo de Efectivo coincide al centavo con la fuente o el Mayor y no tiene defectos críticos.</t>
  </si>
  <si>
    <t>Finalizar IMP-231</t>
  </si>
  <si>
    <t>IMP-233</t>
  </si>
  <si>
    <t>Cambios en el Patrimonio</t>
  </si>
  <si>
    <t>Validar: Cambios en el Patrimonio</t>
  </si>
  <si>
    <t>1) Preparar datos para Cambios en el Patrimonio. 2) Ejecutar con el rol indicado. 3) Comparar con la fuente y el Mayor. 4) Registrar y corregir defectos. 5) Repetir y aprobar.</t>
  </si>
  <si>
    <t>Cambios en el Patrimonio: configuración, evidencia y acta</t>
  </si>
  <si>
    <t>Cambios en el Patrimonio coincide al centavo con la fuente o el Mayor y no tiene defectos críticos.</t>
  </si>
  <si>
    <t>Finalizar IMP-232</t>
  </si>
  <si>
    <t>IMP-234</t>
  </si>
  <si>
    <t>Antigüedad CxC</t>
  </si>
  <si>
    <t>Validar: Antigüedad CxC</t>
  </si>
  <si>
    <t>1) Preparar datos para Antigüedad CxC. 2) Ejecutar con el rol indicado. 3) Comparar con la fuente y el Mayor. 4) Registrar y corregir defectos. 5) Repetir y aprobar.</t>
  </si>
  <si>
    <t>Antigüedad CxC: configuración, evidencia y acta</t>
  </si>
  <si>
    <t>Antigüedad CxC coincide al centavo con la fuente o el Mayor y no tiene defectos críticos.</t>
  </si>
  <si>
    <t>Finalizar IMP-233</t>
  </si>
  <si>
    <t>IMP-235</t>
  </si>
  <si>
    <t>Antigüedad CxP</t>
  </si>
  <si>
    <t>Validar: Antigüedad CxP</t>
  </si>
  <si>
    <t>1) Preparar datos para Antigüedad CxP. 2) Ejecutar con el rol indicado. 3) Comparar con la fuente y el Mayor. 4) Registrar y corregir defectos. 5) Repetir y aprobar.</t>
  </si>
  <si>
    <t>Antigüedad CxP: configuración, evidencia y acta</t>
  </si>
  <si>
    <t>Antigüedad CxP coincide al centavo con la fuente o el Mayor y no tiene defectos críticos.</t>
  </si>
  <si>
    <t>Finalizar IMP-234</t>
  </si>
  <si>
    <t>IMP-236</t>
  </si>
  <si>
    <t>Ventas y compras</t>
  </si>
  <si>
    <t>Validar: Ventas y compras</t>
  </si>
  <si>
    <t>1) Preparar datos para Ventas y compras. 2) Ejecutar con el rol indicado. 3) Comparar con la fuente y el Mayor. 4) Registrar y corregir defectos. 5) Repetir y aprobar.</t>
  </si>
  <si>
    <t>Ventas y compras: configuración, evidencia y acta</t>
  </si>
  <si>
    <t>Ventas y compras coincide al centavo con la fuente o el Mayor y no tiene defectos críticos.</t>
  </si>
  <si>
    <t>Finalizar IMP-235</t>
  </si>
  <si>
    <t>IMP-237</t>
  </si>
  <si>
    <t>Pendientes de facturar</t>
  </si>
  <si>
    <t>Validar: Pendientes de facturar</t>
  </si>
  <si>
    <t>1) Preparar datos para Pendientes de facturar. 2) Ejecutar con el rol indicado. 3) Comparar con la fuente y el Mayor. 4) Registrar y corregir defectos. 5) Repetir y aprobar.</t>
  </si>
  <si>
    <t>Pendientes de facturar: configuración, evidencia y acta</t>
  </si>
  <si>
    <t>Pendientes de facturar coincide al centavo con la fuente o el Mayor y no tiene defectos críticos.</t>
  </si>
  <si>
    <t>Finalizar IMP-236</t>
  </si>
  <si>
    <t>IMP-238</t>
  </si>
  <si>
    <t>Bancos y conciliación</t>
  </si>
  <si>
    <t>Validar: Bancos y conciliación</t>
  </si>
  <si>
    <t>1) Preparar datos para Bancos y conciliación. 2) Ejecutar con el rol indicado. 3) Comparar con la fuente y el Mayor. 4) Registrar y corregir defectos. 5) Repetir y aprobar.</t>
  </si>
  <si>
    <t>Bancos y conciliación: configuración, evidencia y acta</t>
  </si>
  <si>
    <t>Bancos y conciliación coincide al centavo con la fuente o el Mayor y no tiene defectos críticos.</t>
  </si>
  <si>
    <t>Finalizar IMP-237</t>
  </si>
  <si>
    <t>IMP-239</t>
  </si>
  <si>
    <t>IVA/GCT</t>
  </si>
  <si>
    <t>Validar: IVA/GCT</t>
  </si>
  <si>
    <t>1) Preparar datos para IVA/GCT. 2) Ejecutar con el rol indicado. 3) Comparar con la fuente y el Mayor. 4) Registrar y corregir defectos. 5) Repetir y aprobar.</t>
  </si>
  <si>
    <t>IVA/GCT: configuración, evidencia y acta</t>
  </si>
  <si>
    <t>IVA/GCT coincide al centavo con la fuente o el Mayor y no tiene defectos críticos.</t>
  </si>
  <si>
    <t>Finalizar IMP-238</t>
  </si>
  <si>
    <t>IMP-240</t>
  </si>
  <si>
    <t>Revaluación</t>
  </si>
  <si>
    <t>Validar: Revaluación</t>
  </si>
  <si>
    <t>1) Preparar datos para Revaluación. 2) Ejecutar con el rol indicado. 3) Comparar con la fuente y el Mayor. 4) Registrar y corregir defectos. 5) Repetir y aprobar.</t>
  </si>
  <si>
    <t>Revaluación: configuración, evidencia y acta</t>
  </si>
  <si>
    <t>Revaluación coincide al centavo con la fuente o el Mayor y no tiene defectos críticos.</t>
  </si>
  <si>
    <t>Finalizar IMP-239</t>
  </si>
  <si>
    <t>IMP-241</t>
  </si>
  <si>
    <t>Validar: Préstamos intercompany</t>
  </si>
  <si>
    <t>1) Preparar datos para Préstamos intercompany. 2) Ejecutar con el rol indicado. 3) Comparar con la fuente y el Mayor. 4) Registrar y corregir defectos. 5) Repetir y aprobar.</t>
  </si>
  <si>
    <t>Préstamos intercompany coincide al centavo con la fuente o el Mayor y no tiene defectos críticos.</t>
  </si>
  <si>
    <t>Finalizar IMP-240</t>
  </si>
  <si>
    <t>IMP-242</t>
  </si>
  <si>
    <t>Cuentas comerciales intercompany</t>
  </si>
  <si>
    <t>Validar: Cuentas comerciales intercompany</t>
  </si>
  <si>
    <t>1) Preparar datos para Cuentas comerciales intercompany. 2) Ejecutar con el rol indicado. 3) Comparar con la fuente y el Mayor. 4) Registrar y corregir defectos. 5) Repetir y aprobar.</t>
  </si>
  <si>
    <t>Cuentas comerciales intercompany: configuración, evidencia y acta</t>
  </si>
  <si>
    <t>Cuentas comerciales intercompany coincide al centavo con la fuente o el Mayor y no tiene defectos críticos.</t>
  </si>
  <si>
    <t>Finalizar IMP-241</t>
  </si>
  <si>
    <t>IMP-243</t>
  </si>
  <si>
    <t>Solicitudes de pago</t>
  </si>
  <si>
    <t>Validar: Solicitudes de pago</t>
  </si>
  <si>
    <t>1) Preparar datos para Solicitudes de pago. 2) Ejecutar con el rol indicado. 3) Comparar con la fuente y el Mayor. 4) Registrar y corregir defectos. 5) Repetir y aprobar.</t>
  </si>
  <si>
    <t>Solicitudes de pago: configuración, evidencia y acta</t>
  </si>
  <si>
    <t>Solicitudes de pago coincide al centavo con la fuente o el Mayor y no tiene defectos críticos.</t>
  </si>
  <si>
    <t>Finalizar IMP-242</t>
  </si>
  <si>
    <t>IMP-244</t>
  </si>
  <si>
    <t>Validar: Activos Fijos</t>
  </si>
  <si>
    <t>1) Preparar datos para Activos Fijos. 2) Ejecutar con el rol indicado. 3) Comparar con la fuente y el Mayor. 4) Registrar y corregir defectos. 5) Repetir y aprobar.</t>
  </si>
  <si>
    <t>Activos Fijos: configuración, evidencia y acta</t>
  </si>
  <si>
    <t>Activos Fijos coincide al centavo con la fuente o el Mayor y no tiene defectos críticos.</t>
  </si>
  <si>
    <t>Finalizar IMP-243</t>
  </si>
  <si>
    <t>IMP-245</t>
  </si>
  <si>
    <t>Exportaciones PDF Excel CSV</t>
  </si>
  <si>
    <t>Validar: Exportaciones PDF Excel CSV</t>
  </si>
  <si>
    <t>1) Preparar datos para Exportaciones PDF Excel CSV. 2) Ejecutar con el rol indicado. 3) Comparar con la fuente y el Mayor. 4) Registrar y corregir defectos. 5) Repetir y aprobar.</t>
  </si>
  <si>
    <t>Exportaciones PDF Excel CSV: configuración, evidencia y acta</t>
  </si>
  <si>
    <t>Exportaciones PDF Excel CSV coincide al centavo con la fuente o el Mayor y no tiene defectos críticos.</t>
  </si>
  <si>
    <t>Finalizar IMP-244</t>
  </si>
  <si>
    <t>IMP-246</t>
  </si>
  <si>
    <t>Envíos programados</t>
  </si>
  <si>
    <t>Validar: Envíos programados</t>
  </si>
  <si>
    <t>1) Preparar datos para Envíos programados. 2) Ejecutar con el rol indicado. 3) Comparar con la fuente y el Mayor. 4) Registrar y corregir defectos. 5) Repetir y aprobar.</t>
  </si>
  <si>
    <t>Envíos programados: configuración, evidencia y acta</t>
  </si>
  <si>
    <t>Envíos programados coincide al centavo con la fuente o el Mayor y no tiene defectos críticos.</t>
  </si>
  <si>
    <t>Finalizar IMP-245</t>
  </si>
  <si>
    <t>IMP-247</t>
  </si>
  <si>
    <t>Casos de uso y datos permitidos</t>
  </si>
  <si>
    <t>Configurar y validar: Casos de uso y datos permitidos</t>
  </si>
  <si>
    <t>1) Definir regla y responsables de Casos de uso y datos permitidos. 2) Configurar permisos, trazabilidad y excepciones. 3) Probar caso autorizado y no autorizado. 4) Revisar bitácora. 5) Obtener conformidad de Control Interno.</t>
  </si>
  <si>
    <t>Casos de uso y datos permitidos: configuración, evidencia y acta</t>
  </si>
  <si>
    <t>Casos de uso y datos permitidos permite solo acciones autorizadas y registra actor, fecha y resultado.</t>
  </si>
  <si>
    <t>Comité de IA</t>
  </si>
  <si>
    <t>IMP-248</t>
  </si>
  <si>
    <t>Agentes de IA</t>
  </si>
  <si>
    <t>Configurar y validar: Agentes de IA</t>
  </si>
  <si>
    <t>1) Definir regla y responsables de Agentes de IA. 2) Configurar permisos, trazabilidad y excepciones. 3) Probar caso autorizado y no autorizado. 4) Revisar bitácora. 5) Obtener conformidad de Control Interno.</t>
  </si>
  <si>
    <t>Agentes de IA: configuración, evidencia y acta</t>
  </si>
  <si>
    <t>Agentes de IA permite solo acciones autorizadas y registra actor, fecha y resultado.</t>
  </si>
  <si>
    <t>Finalizar IMP-247</t>
  </si>
  <si>
    <t>IMP-249</t>
  </si>
  <si>
    <t>Plantillas de prompts</t>
  </si>
  <si>
    <t>Configurar y validar: Plantillas de prompts</t>
  </si>
  <si>
    <t>1) Definir regla y responsables de Plantillas de prompts. 2) Configurar permisos, trazabilidad y excepciones. 3) Probar caso autorizado y no autorizado. 4) Revisar bitácora. 5) Obtener conformidad de Control Interno.</t>
  </si>
  <si>
    <t>Plantillas de prompts: configuración, evidencia y acta</t>
  </si>
  <si>
    <t>Plantillas de prompts permite solo acciones autorizadas y registra actor, fecha y resultado.</t>
  </si>
  <si>
    <t>Finalizar IMP-248</t>
  </si>
  <si>
    <t>IMP-250</t>
  </si>
  <si>
    <t>Conversaciones</t>
  </si>
  <si>
    <t>Configurar y validar: Conversaciones</t>
  </si>
  <si>
    <t>1) Definir regla y responsables de Conversaciones. 2) Configurar permisos, trazabilidad y excepciones. 3) Probar caso autorizado y no autorizado. 4) Revisar bitácora. 5) Obtener conformidad de Control Interno.</t>
  </si>
  <si>
    <t>Conversaciones: configuración, evidencia y acta</t>
  </si>
  <si>
    <t>Conversaciones permite solo acciones autorizadas y registra actor, fecha y resultado.</t>
  </si>
  <si>
    <t>Finalizar IMP-249</t>
  </si>
  <si>
    <t>IMP-251</t>
  </si>
  <si>
    <t>Documentos OCR</t>
  </si>
  <si>
    <t>Configurar y validar: Documentos OCR</t>
  </si>
  <si>
    <t>1) Definir regla y responsables de Documentos OCR. 2) Configurar permisos, trazabilidad y excepciones. 3) Probar caso autorizado y no autorizado. 4) Revisar bitácora. 5) Obtener conformidad de Control Interno.</t>
  </si>
  <si>
    <t>Documentos OCR: configuración, evidencia y acta</t>
  </si>
  <si>
    <t>Documentos OCR permite solo acciones autorizadas y registra actor, fecha y resultado.</t>
  </si>
  <si>
    <t>Finalizar IMP-250</t>
  </si>
  <si>
    <t>IMP-252</t>
  </si>
  <si>
    <t>Predicciones</t>
  </si>
  <si>
    <t>Configurar y validar: Predicciones</t>
  </si>
  <si>
    <t>1) Definir regla y responsables de Predicciones. 2) Configurar permisos, trazabilidad y excepciones. 3) Probar caso autorizado y no autorizado. 4) Revisar bitácora. 5) Obtener conformidad de Control Interno.</t>
  </si>
  <si>
    <t>Predicciones: configuración, evidencia y acta</t>
  </si>
  <si>
    <t>Predicciones permite solo acciones autorizadas y registra actor, fecha y resultado.</t>
  </si>
  <si>
    <t>Finalizar IMP-251</t>
  </si>
  <si>
    <t>IMP-253</t>
  </si>
  <si>
    <t>Aprobación humana</t>
  </si>
  <si>
    <t>Configurar y validar: Aprobación humana</t>
  </si>
  <si>
    <t>1) Definir regla y responsables de Aprobación humana. 2) Configurar permisos, trazabilidad y excepciones. 3) Probar caso autorizado y no autorizado. 4) Revisar bitácora. 5) Obtener conformidad de Control Interno.</t>
  </si>
  <si>
    <t>Aprobación humana: configuración, evidencia y acta</t>
  </si>
  <si>
    <t>Aprobación humana permite solo acciones autorizadas y registra actor, fecha y resultado.</t>
  </si>
  <si>
    <t>Finalizar IMP-252</t>
  </si>
  <si>
    <t>IMP-254</t>
  </si>
  <si>
    <t>Auditoría y confianza</t>
  </si>
  <si>
    <t>Configurar y validar: Auditoría y confianza</t>
  </si>
  <si>
    <t>1) Definir regla y responsables de Auditoría y confianza. 2) Configurar permisos, trazabilidad y excepciones. 3) Probar caso autorizado y no autorizado. 4) Revisar bitácora. 5) Obtener conformidad de Control Interno.</t>
  </si>
  <si>
    <t>Auditoría y confianza: configuración, evidencia y acta</t>
  </si>
  <si>
    <t>Auditoría y confianza permite solo acciones autorizadas y registra actor, fecha y resultado.</t>
  </si>
  <si>
    <t>Finalizar IMP-253</t>
  </si>
  <si>
    <t>IMP-255</t>
  </si>
  <si>
    <t>6. Datos y validación</t>
  </si>
  <si>
    <t>Perfilamiento de fuentes</t>
  </si>
  <si>
    <t>Migrar y conciliar: Perfilamiento de fuentes</t>
  </si>
  <si>
    <t>1) Identificar fuente y propietario de Perfilamiento de fuentes. 2) Extraer y perfilar. 3) Limpiar, homologar y mapear. 4) Cargar en pruebas. 5) Conciliar registros, importes y rechazados. 6) Firmar aprobación.</t>
  </si>
  <si>
    <t>Perfilamiento de fuentes: configuración, evidencia y acta</t>
  </si>
  <si>
    <t>Perfilamiento de fuentes: registros válidos cargados, rechazados justificados y diferencia monetaria 0,00; conciliación firmada.</t>
  </si>
  <si>
    <t>Dueños de datos</t>
  </si>
  <si>
    <t>IMP-256</t>
  </si>
  <si>
    <t>Limpieza y homologación</t>
  </si>
  <si>
    <t>Migrar y conciliar: Limpieza y homologación</t>
  </si>
  <si>
    <t>1) Identificar fuente y propietario de Limpieza y homologación. 2) Extraer y perfilar. 3) Limpiar, homologar y mapear. 4) Cargar en pruebas. 5) Conciliar registros, importes y rechazados. 6) Firmar aprobación.</t>
  </si>
  <si>
    <t>Limpieza y homologación: configuración, evidencia y acta</t>
  </si>
  <si>
    <t>Limpieza y homologación: registros válidos cargados, rechazados justificados y diferencia monetaria 0,00; conciliación firmada.</t>
  </si>
  <si>
    <t>Finalizar IMP-255</t>
  </si>
  <si>
    <t>IMP-257</t>
  </si>
  <si>
    <t>Mapeo de identificadores</t>
  </si>
  <si>
    <t>Migrar y conciliar: Mapeo de identificadores</t>
  </si>
  <si>
    <t>1) Identificar fuente y propietario de Mapeo de identificadores. 2) Extraer y perfilar. 3) Limpiar, homologar y mapear. 4) Cargar en pruebas. 5) Conciliar registros, importes y rechazados. 6) Firmar aprobación.</t>
  </si>
  <si>
    <t>Mapeo de identificadores: configuración, evidencia y acta</t>
  </si>
  <si>
    <t>Mapeo de identificadores: registros válidos cargados, rechazados justificados y diferencia monetaria 0,00; conciliación firmada.</t>
  </si>
  <si>
    <t>Finalizar IMP-256</t>
  </si>
  <si>
    <t>IMP-258</t>
  </si>
  <si>
    <t>Libro Mayor en dos monedas</t>
  </si>
  <si>
    <t>Migrar y conciliar: Libro Mayor en dos monedas</t>
  </si>
  <si>
    <t>1) Identificar fuente y propietario de Libro Mayor en dos monedas. 2) Extraer y perfilar. 3) Limpiar, homologar y mapear. 4) Cargar en pruebas. 5) Conciliar registros, importes y rechazados. 6) Firmar aprobación.</t>
  </si>
  <si>
    <t>Libro Mayor en dos monedas: configuración, evidencia y acta</t>
  </si>
  <si>
    <t>Libro Mayor en dos monedas: registros válidos cargados, rechazados justificados y diferencia monetaria 0,00; conciliación firmada.</t>
  </si>
  <si>
    <t>Finalizar IMP-257</t>
  </si>
  <si>
    <t>IMP-259</t>
  </si>
  <si>
    <t>Auxiliar CxC</t>
  </si>
  <si>
    <t>Migrar y conciliar: Auxiliar CxC</t>
  </si>
  <si>
    <t>1) Identificar fuente y propietario de Auxiliar CxC. 2) Extraer y perfilar. 3) Limpiar, homologar y mapear. 4) Cargar en pruebas. 5) Conciliar registros, importes y rechazados. 6) Firmar aprobación.</t>
  </si>
  <si>
    <t>Auxiliar CxC: configuración, evidencia y acta</t>
  </si>
  <si>
    <t>Auxiliar CxC: registros válidos cargados, rechazados justificados y diferencia monetaria 0,00; conciliación firmada.</t>
  </si>
  <si>
    <t>Finalizar IMP-258</t>
  </si>
  <si>
    <t>IMP-260</t>
  </si>
  <si>
    <t>Auxiliar CxP</t>
  </si>
  <si>
    <t>Migrar y conciliar: Auxiliar CxP</t>
  </si>
  <si>
    <t>1) Identificar fuente y propietario de Auxiliar CxP. 2) Extraer y perfilar. 3) Limpiar, homologar y mapear. 4) Cargar en pruebas. 5) Conciliar registros, importes y rechazados. 6) Firmar aprobación.</t>
  </si>
  <si>
    <t>Auxiliar CxP: configuración, evidencia y acta</t>
  </si>
  <si>
    <t>Auxiliar CxP: registros válidos cargados, rechazados justificados y diferencia monetaria 0,00; conciliación firmada.</t>
  </si>
  <si>
    <t>Finalizar IMP-259</t>
  </si>
  <si>
    <t>IMP-261</t>
  </si>
  <si>
    <t>Auxiliar Activos Fijos</t>
  </si>
  <si>
    <t>Migrar y conciliar: Auxiliar Activos Fijos</t>
  </si>
  <si>
    <t>1) Identificar fuente y propietario de Auxiliar Activos Fijos. 2) Extraer y perfilar. 3) Limpiar, homologar y mapear. 4) Cargar en pruebas. 5) Conciliar registros, importes y rechazados. 6) Firmar aprobación.</t>
  </si>
  <si>
    <t>Auxiliar Activos Fijos: configuración, evidencia y acta</t>
  </si>
  <si>
    <t>Auxiliar Activos Fijos: registros válidos cargados, rechazados justificados y diferencia monetaria 0,00; conciliación firmada.</t>
  </si>
  <si>
    <t>Finalizar IMP-260</t>
  </si>
  <si>
    <t>IMP-262</t>
  </si>
  <si>
    <t>Auxiliar Pendientes de Facturar</t>
  </si>
  <si>
    <t>Migrar y conciliar: Auxiliar Pendientes de Facturar</t>
  </si>
  <si>
    <t>1) Identificar fuente y propietario de Auxiliar Pendientes de Facturar. 2) Extraer y perfilar. 3) Limpiar, homologar y mapear. 4) Cargar en pruebas. 5) Conciliar registros, importes y rechazados. 6) Firmar aprobación.</t>
  </si>
  <si>
    <t>Auxiliar Pendientes de Facturar: configuración, evidencia y acta</t>
  </si>
  <si>
    <t>Auxiliar Pendientes de Facturar: registros válidos cargados, rechazados justificados y diferencia monetaria 0,00; conciliación firmada.</t>
  </si>
  <si>
    <t>Finalizar IMP-261</t>
  </si>
  <si>
    <t>IMP-263</t>
  </si>
  <si>
    <t>Auxiliar Bancos</t>
  </si>
  <si>
    <t>Migrar y conciliar: Auxiliar Bancos</t>
  </si>
  <si>
    <t>1) Identificar fuente y propietario de Auxiliar Bancos. 2) Extraer y perfilar. 3) Limpiar, homologar y mapear. 4) Cargar en pruebas. 5) Conciliar registros, importes y rechazados. 6) Firmar aprobación.</t>
  </si>
  <si>
    <t>Auxiliar Bancos: configuración, evidencia y acta</t>
  </si>
  <si>
    <t>Auxiliar Bancos: registros válidos cargados, rechazados justificados y diferencia monetaria 0,00; conciliación firmada.</t>
  </si>
  <si>
    <t>Finalizar IMP-262</t>
  </si>
  <si>
    <t>IMP-264</t>
  </si>
  <si>
    <t>Ensayo 1</t>
  </si>
  <si>
    <t>Migrar y conciliar: Ensayo 1</t>
  </si>
  <si>
    <t>1) Identificar fuente y propietario de Ensayo 1. 2) Extraer y perfilar. 3) Limpiar, homologar y mapear. 4) Cargar en pruebas. 5) Conciliar registros, importes y rechazados. 6) Firmar aprobación.</t>
  </si>
  <si>
    <t>Ensayo 1: configuración, evidencia y acta</t>
  </si>
  <si>
    <t>Ensayo 1: registros válidos cargados, rechazados justificados y diferencia monetaria 0,00; conciliación firmada.</t>
  </si>
  <si>
    <t>Finalizar IMP-263</t>
  </si>
  <si>
    <t>IMP-265</t>
  </si>
  <si>
    <t>Ensayo 2</t>
  </si>
  <si>
    <t>Migrar y conciliar: Ensayo 2</t>
  </si>
  <si>
    <t>1) Identificar fuente y propietario de Ensayo 2. 2) Extraer y perfilar. 3) Limpiar, homologar y mapear. 4) Cargar en pruebas. 5) Conciliar registros, importes y rechazados. 6) Firmar aprobación.</t>
  </si>
  <si>
    <t>Ensayo 2: configuración, evidencia y acta</t>
  </si>
  <si>
    <t>Ensayo 2: registros válidos cargados, rechazados justificados y diferencia monetaria 0,00; conciliación firmada.</t>
  </si>
  <si>
    <t>Finalizar IMP-264</t>
  </si>
  <si>
    <t>IMP-266</t>
  </si>
  <si>
    <t>Carga final</t>
  </si>
  <si>
    <t>Migrar y conciliar: Carga final</t>
  </si>
  <si>
    <t>1) Identificar fuente y propietario de Carga final. 2) Extraer y perfilar. 3) Limpiar, homologar y mapear. 4) Cargar en pruebas. 5) Conciliar registros, importes y rechazados. 6) Firmar aprobación.</t>
  </si>
  <si>
    <t>Carga final: configuración, evidencia y acta</t>
  </si>
  <si>
    <t>Carga final: registros válidos cargados, rechazados justificados y diferencia monetaria 0,00; conciliación firmada.</t>
  </si>
  <si>
    <t>Finalizar IMP-265</t>
  </si>
  <si>
    <t>IMP-267</t>
  </si>
  <si>
    <t>Conciliación Mayor-auxiliares</t>
  </si>
  <si>
    <t>Migrar y conciliar: Conciliación Mayor-auxiliares</t>
  </si>
  <si>
    <t>1) Identificar fuente y propietario de Conciliación Mayor-auxiliares. 2) Extraer y perfilar. 3) Limpiar, homologar y mapear. 4) Cargar en pruebas. 5) Conciliar registros, importes y rechazados. 6) Firmar aprobación.</t>
  </si>
  <si>
    <t>Conciliación Mayor-auxiliares: configuración, evidencia y acta</t>
  </si>
  <si>
    <t>Conciliación Mayor-auxiliares: registros válidos cargados, rechazados justificados y diferencia monetaria 0,00; conciliación firmada.</t>
  </si>
  <si>
    <t>Finalizar IMP-266</t>
  </si>
  <si>
    <t>IMP-268</t>
  </si>
  <si>
    <t>Actas de saldos</t>
  </si>
  <si>
    <t>Migrar y conciliar: Actas de saldos</t>
  </si>
  <si>
    <t>1) Identificar fuente y propietario de Actas de saldos. 2) Extraer y perfilar. 3) Limpiar, homologar y mapear. 4) Cargar en pruebas. 5) Conciliar registros, importes y rechazados. 6) Firmar aprobación.</t>
  </si>
  <si>
    <t>Actas de saldos: configuración, evidencia y acta</t>
  </si>
  <si>
    <t>Actas de saldos: registros válidos cargados, rechazados justificados y diferencia monetaria 0,00; conciliación firmada.</t>
  </si>
  <si>
    <t>Finalizar IMP-267</t>
  </si>
  <si>
    <t>IMP-269</t>
  </si>
  <si>
    <t>7. Pruebas y preparación</t>
  </si>
  <si>
    <t>Pruebas unitarias</t>
  </si>
  <si>
    <t>Validar: Pruebas unitarias</t>
  </si>
  <si>
    <t>1) Preparar datos para Pruebas unitarias. 2) Ejecutar con el rol indicado. 3) Comparar con la fuente y el Mayor. 4) Registrar y corregir defectos. 5) Repetir y aprobar.</t>
  </si>
  <si>
    <t>Pruebas unitarias: configuración, evidencia y acta</t>
  </si>
  <si>
    <t>Pruebas unitarias coincide al centavo con la fuente o el Mayor y no tiene defectos críticos.</t>
  </si>
  <si>
    <t>Usuarios clave</t>
  </si>
  <si>
    <t>IMP-270</t>
  </si>
  <si>
    <t>Pruebas end-to-end</t>
  </si>
  <si>
    <t>Validar: Pruebas end-to-end</t>
  </si>
  <si>
    <t>1) Preparar datos para Pruebas end-to-end. 2) Ejecutar con el rol indicado. 3) Comparar con la fuente y el Mayor. 4) Registrar y corregir defectos. 5) Repetir y aprobar.</t>
  </si>
  <si>
    <t>Pruebas end-to-end: configuración, evidencia y acta</t>
  </si>
  <si>
    <t>Pruebas end-to-end coincide al centavo con la fuente o el Mayor y no tiene defectos críticos.</t>
  </si>
  <si>
    <t>Finalizar IMP-269</t>
  </si>
  <si>
    <t>IMP-271</t>
  </si>
  <si>
    <t>Seguridad y permisos</t>
  </si>
  <si>
    <t>Validar: Seguridad y permisos</t>
  </si>
  <si>
    <t>1) Preparar datos para Seguridad y permisos. 2) Ejecutar con el rol indicado. 3) Comparar con la fuente y el Mayor. 4) Registrar y corregir defectos. 5) Repetir y aprobar.</t>
  </si>
  <si>
    <t>Seguridad y permisos: configuración, evidencia y acta</t>
  </si>
  <si>
    <t>Seguridad y permisos coincide al centavo con la fuente o el Mayor y no tiene defectos críticos.</t>
  </si>
  <si>
    <t>Finalizar IMP-270</t>
  </si>
  <si>
    <t>IMP-272</t>
  </si>
  <si>
    <t>Rendimiento y recuperación</t>
  </si>
  <si>
    <t>Validar: Rendimiento y recuperación</t>
  </si>
  <si>
    <t>1) Preparar datos para Rendimiento y recuperación. 2) Ejecutar con el rol indicado. 3) Comparar con la fuente y el Mayor. 4) Registrar y corregir defectos. 5) Repetir y aprobar.</t>
  </si>
  <si>
    <t>Rendimiento y recuperación: configuración, evidencia y acta</t>
  </si>
  <si>
    <t>Rendimiento y recuperación coincide al centavo con la fuente o el Mayor y no tiene defectos críticos.</t>
  </si>
  <si>
    <t>Finalizar IMP-271</t>
  </si>
  <si>
    <t>IMP-273</t>
  </si>
  <si>
    <t>UAT por rol y filial</t>
  </si>
  <si>
    <t>Validar: UAT por rol y filial</t>
  </si>
  <si>
    <t>1) Preparar datos para UAT por rol y filial. 2) Ejecutar con el rol indicado. 3) Comparar con la fuente y el Mayor. 4) Registrar y corregir defectos. 5) Repetir y aprobar.</t>
  </si>
  <si>
    <t>UAT por rol y filial: configuración, evidencia y acta</t>
  </si>
  <si>
    <t>UAT por rol y filial coincide al centavo con la fuente o el Mayor y no tiene defectos críticos.</t>
  </si>
  <si>
    <t>Finalizar IMP-272</t>
  </si>
  <si>
    <t>IMP-274</t>
  </si>
  <si>
    <t>Corrección y re-prueba</t>
  </si>
  <si>
    <t>Validar: Corrección y re-prueba</t>
  </si>
  <si>
    <t>1) Preparar datos para Corrección y re-prueba. 2) Ejecutar con el rol indicado. 3) Comparar con la fuente y el Mayor. 4) Registrar y corregir defectos. 5) Repetir y aprobar.</t>
  </si>
  <si>
    <t>Corrección y re-prueba: configuración, evidencia y acta</t>
  </si>
  <si>
    <t>Corrección y re-prueba coincide al centavo con la fuente o el Mayor y no tiene defectos críticos.</t>
  </si>
  <si>
    <t>Finalizar IMP-273</t>
  </si>
  <si>
    <t>IMP-275</t>
  </si>
  <si>
    <t>Manuales y guías</t>
  </si>
  <si>
    <t>Validar: Manuales y guías</t>
  </si>
  <si>
    <t>1) Preparar datos para Manuales y guías. 2) Ejecutar con el rol indicado. 3) Comparar con la fuente y el Mayor. 4) Registrar y corregir defectos. 5) Repetir y aprobar.</t>
  </si>
  <si>
    <t>Manuales y guías: configuración, evidencia y acta</t>
  </si>
  <si>
    <t>Manuales y guías coincide al centavo con la fuente o el Mayor y no tiene defectos críticos.</t>
  </si>
  <si>
    <t>Finalizar IMP-274</t>
  </si>
  <si>
    <t>IMP-276</t>
  </si>
  <si>
    <t>Capacitación</t>
  </si>
  <si>
    <t>Validar: Capacitación</t>
  </si>
  <si>
    <t>1) Preparar datos para Capacitación. 2) Ejecutar con el rol indicado. 3) Comparar con la fuente y el Mayor. 4) Registrar y corregir defectos. 5) Repetir y aprobar.</t>
  </si>
  <si>
    <t>Capacitación: configuración, evidencia y acta</t>
  </si>
  <si>
    <t>Capacitación coincide al centavo con la fuente o el Mayor y no tiene defectos críticos.</t>
  </si>
  <si>
    <t>Finalizar IMP-275</t>
  </si>
  <si>
    <t>IMP-277</t>
  </si>
  <si>
    <t>Ensayo de cutover</t>
  </si>
  <si>
    <t>Validar: Ensayo de cutover</t>
  </si>
  <si>
    <t>1) Preparar datos para Ensayo de cutover. 2) Ejecutar con el rol indicado. 3) Comparar con la fuente y el Mayor. 4) Registrar y corregir defectos. 5) Repetir y aprobar.</t>
  </si>
  <si>
    <t>Ensayo de cutover: configuración, evidencia y acta</t>
  </si>
  <si>
    <t>Ensayo de cutover coincide al centavo con la fuente o el Mayor y no tiene defectos críticos.</t>
  </si>
  <si>
    <t>Finalizar IMP-276</t>
  </si>
  <si>
    <t>IMP-278</t>
  </si>
  <si>
    <t>Go/No-Go</t>
  </si>
  <si>
    <t>Validar: Go/No-Go</t>
  </si>
  <si>
    <t>1) Preparar datos para Go/No-Go. 2) Ejecutar con el rol indicado. 3) Comparar con la fuente y el Mayor. 4) Registrar y corregir defectos. 5) Repetir y aprobar.</t>
  </si>
  <si>
    <t>Go/No-Go: configuración, evidencia y acta</t>
  </si>
  <si>
    <t>Go/No-Go coincide al centavo con la fuente o el Mayor y no tiene defectos críticos.</t>
  </si>
  <si>
    <t>Finalizar IMP-277</t>
  </si>
  <si>
    <t>IMP-279</t>
  </si>
  <si>
    <t>Salida productiva</t>
  </si>
  <si>
    <t>Validar: Salida productiva</t>
  </si>
  <si>
    <t>1) Preparar datos para Salida productiva. 2) Ejecutar con el rol indicado. 3) Comparar con la fuente y el Mayor. 4) Registrar y corregir defectos. 5) Repetir y aprobar.</t>
  </si>
  <si>
    <t>Salida productiva: configuración, evidencia y acta</t>
  </si>
  <si>
    <t>Salida productiva coincide al centavo con la fuente o el Mayor y no tiene defectos críticos.</t>
  </si>
  <si>
    <t>Finalizar IMP-278</t>
  </si>
  <si>
    <t>IMP-280</t>
  </si>
  <si>
    <t>Hypercare y soporte</t>
  </si>
  <si>
    <t>Validar: Hypercare y soporte</t>
  </si>
  <si>
    <t>1) Preparar datos para Hypercare y soporte. 2) Ejecutar con el rol indicado. 3) Comparar con la fuente y el Mayor. 4) Registrar y corregir defectos. 5) Repetir y aprobar.</t>
  </si>
  <si>
    <t>Hypercare y soporte: configuración, evidencia y acta</t>
  </si>
  <si>
    <t>Hypercare y soporte coincide al centavo con la fuente o el Mayor y no tiene defectos críticos.</t>
  </si>
  <si>
    <t>Finalizar IMP-279</t>
  </si>
  <si>
    <t>ROLLOUT POR FILIAL</t>
  </si>
  <si>
    <t>Matriz preservada del archivo de referencia, mejorada con fases y avance dinámico.</t>
  </si>
  <si>
    <t>Subsidiaria</t>
  </si>
  <si>
    <t>País</t>
  </si>
  <si>
    <t>Gobierno</t>
  </si>
  <si>
    <t>Maestros</t>
  </si>
  <si>
    <t>Configuración</t>
  </si>
  <si>
    <t>Migración</t>
  </si>
  <si>
    <t>Cutover</t>
  </si>
  <si>
    <t>Estado general</t>
  </si>
  <si>
    <t>% preparación</t>
  </si>
  <si>
    <t>Go-Live</t>
  </si>
  <si>
    <t>Responsable</t>
  </si>
  <si>
    <t>FIL-01</t>
  </si>
  <si>
    <t>S.T.T. HOLDINGS LIMITED - Jamaica</t>
  </si>
  <si>
    <t>FIL-02</t>
  </si>
  <si>
    <t>TOTAL TALENT ECUADOR TOTAECUA S.A. - Ecuador</t>
  </si>
  <si>
    <t>FIL-03</t>
  </si>
  <si>
    <t>EBO, S.A. DE C.V (EL SALVADOR)</t>
  </si>
  <si>
    <t>FIL-04</t>
  </si>
  <si>
    <t>STT TECHNOLOGY &amp; SOLUTIONS, INC - Panamá</t>
  </si>
  <si>
    <t>FIL-05</t>
  </si>
  <si>
    <t>HR SOLUTIONS PERU S.A.C.</t>
  </si>
  <si>
    <t>FIL-06</t>
  </si>
  <si>
    <t>PAYROLL OUTSOURCING S.A. - Costa Rica</t>
  </si>
  <si>
    <t>FIL-07</t>
  </si>
  <si>
    <t>INFORMATION TECHNOLOGY OUTSOURCING IN C.L.O.U.D S.A. - Costa Rica</t>
  </si>
  <si>
    <t>FIL-08</t>
  </si>
  <si>
    <t>STT GROUP DE CR S.A. - Costa Rica</t>
  </si>
  <si>
    <t>FIL-09</t>
  </si>
  <si>
    <t>STT CAPITAL DE TRABAJO SOCIEDAD ANONIMA - Costa Rica</t>
  </si>
  <si>
    <t>FIL-10</t>
  </si>
  <si>
    <t>SERVICE TOTAL TALENT S.A. - Costa Rica</t>
  </si>
  <si>
    <t>FIL-11</t>
  </si>
  <si>
    <t>STT CONSULTING, S.A. - Costa Rica</t>
  </si>
  <si>
    <t>FIL-12</t>
  </si>
  <si>
    <t>S.T.T. CENTROAMERICA S.A. - Costa Rica</t>
  </si>
  <si>
    <t>FIL-13</t>
  </si>
  <si>
    <t xml:space="preserve">JEMO Y ASOCIADOS SOCIEDAD ANONIMA
COSTA RICA</t>
  </si>
  <si>
    <t>FIL-14</t>
  </si>
  <si>
    <t>SIH SERVICIOS INTEGRALES HUMANOS, S.R.L - República Dominicana</t>
  </si>
  <si>
    <t>FIL-15</t>
  </si>
  <si>
    <t>GRUPO STT PERU, S.A.C. - Perú</t>
  </si>
  <si>
    <t>FIL-16</t>
  </si>
  <si>
    <t>GLOBAL HUMAN RESOURCES CORPORATION GLOCOR, S.R.L. - República Dominicana</t>
  </si>
  <si>
    <t>FIL-17</t>
  </si>
  <si>
    <t>STT GROUP OF PUERTO RICO CORPORATION - Puerto Rico</t>
  </si>
  <si>
    <t>FIL-18</t>
  </si>
  <si>
    <t>American Natural Corporation, Manejo de Recursos Humanos S de RL. - Honduras</t>
  </si>
  <si>
    <t>FIL-19</t>
  </si>
  <si>
    <t>Evolving Business Opportunities Honduras SA de CV</t>
  </si>
  <si>
    <t>FIL-20</t>
  </si>
  <si>
    <t>BETA SERVICIOS TEMPORALES S.A.S - Colombia</t>
  </si>
  <si>
    <t>FIL-21</t>
  </si>
  <si>
    <t>STT GROUP SUCURSAL COLOMBIA S.A. (SUCURSAL DE STT GROUP DE CR S.A.) - Colombia</t>
  </si>
  <si>
    <t>FIL-22</t>
  </si>
  <si>
    <t>STT GROUP DE HONDURAS S.A. DE CV - Honduras</t>
  </si>
  <si>
    <t>FIL-23</t>
  </si>
  <si>
    <t>GRUPO STT PANAMA S.A. - Panamá</t>
  </si>
  <si>
    <t>FIL-24</t>
  </si>
  <si>
    <t>ENCUENTRE TU TRABAJO, S.A. - Guatemala</t>
  </si>
  <si>
    <t>FIL-25</t>
  </si>
  <si>
    <t>SUPPLYING TOTAL TALENT RD, SRL (ZONA FRANCA) - República Dominicana</t>
  </si>
  <si>
    <t>FIL-26</t>
  </si>
  <si>
    <t>STT GROUP DE LA REPÚBLICA DOMINICANA S.R.L. - República Dominicana</t>
  </si>
  <si>
    <t>FIL-27</t>
  </si>
  <si>
    <t>SUPPLYING TOTAL TALENT SAS - Colombia</t>
  </si>
  <si>
    <t>FIL-28</t>
  </si>
  <si>
    <t>GRUPO STT EL SALVADOR, SOCIEDAD ANONIMA DE CAPITAL VARIABLE - El Salvador</t>
  </si>
  <si>
    <t>FIL-29</t>
  </si>
  <si>
    <t>EBO CONTACT CENTER S.A. - Costa Rica</t>
  </si>
  <si>
    <t>FIL-30</t>
  </si>
  <si>
    <t>STT SURAMERICA, S.A. - Panamá</t>
  </si>
  <si>
    <t>FIL-31</t>
  </si>
  <si>
    <t>EVOLVING BUSINESS OPPORTUNITIES S.A - Nicaragua</t>
  </si>
  <si>
    <t>FIL-32</t>
  </si>
  <si>
    <t>JEMO Y ASOCIADOS S.A. DE C.V. - México</t>
  </si>
  <si>
    <t>FIL-33</t>
  </si>
  <si>
    <t>GBS DATA CORPORATION S.A. - Costa Rica</t>
  </si>
  <si>
    <t>FIL-34</t>
  </si>
  <si>
    <t>SUPPLYING TOTAL TALENT, S.A. - Nicaragua</t>
  </si>
  <si>
    <t>FIL-35</t>
  </si>
  <si>
    <t>SUPPLYING TOTAL TALENT S.A.S. - Argentina</t>
  </si>
  <si>
    <t>HITOS Y ENTREGABLES</t>
  </si>
  <si>
    <t>Cada hito requiere evidencia y aprobación formal.</t>
  </si>
  <si>
    <t>Hito</t>
  </si>
  <si>
    <t>Fecha plan</t>
  </si>
  <si>
    <t>Fecha real</t>
  </si>
  <si>
    <t>Aprobado por</t>
  </si>
  <si>
    <t>Evidencia</t>
  </si>
  <si>
    <t>Criterio</t>
  </si>
  <si>
    <t>H-01</t>
  </si>
  <si>
    <t>Acta de inicio aprobada</t>
  </si>
  <si>
    <t>Programa ERP</t>
  </si>
  <si>
    <t>Acta</t>
  </si>
  <si>
    <t>Acta de inicio aprobada con evidencia y aprobación.</t>
  </si>
  <si>
    <t>H-02</t>
  </si>
  <si>
    <t>Ambiente de pruebas operativo</t>
  </si>
  <si>
    <t>Ambiente de pruebas operativo con evidencia y aprobación.</t>
  </si>
  <si>
    <t>H-03</t>
  </si>
  <si>
    <t>Diseño CORE y Organización aprobado</t>
  </si>
  <si>
    <t>Diseño CORE y Organización aprobado con evidencia y aprobación.</t>
  </si>
  <si>
    <t>H-04</t>
  </si>
  <si>
    <t>Matriz de seguridad aprobada</t>
  </si>
  <si>
    <t>Matriz de seguridad aprobada con evidencia y aprobación.</t>
  </si>
  <si>
    <t>H-05</t>
  </si>
  <si>
    <t>Plan de cuentas aprobado</t>
  </si>
  <si>
    <t>Plan de cuentas aprobado con evidencia y aprobación.</t>
  </si>
  <si>
    <t>H-06</t>
  </si>
  <si>
    <t>Diseño operativo aprobado</t>
  </si>
  <si>
    <t>Diseño operativo aprobado con evidencia y aprobación.</t>
  </si>
  <si>
    <t>H-07</t>
  </si>
  <si>
    <t>Ensayo de migración 1 conciliado</t>
  </si>
  <si>
    <t>Ensayo de migración 1 conciliado con evidencia y aprobación.</t>
  </si>
  <si>
    <t>H-08</t>
  </si>
  <si>
    <t>Pruebas integrales completadas</t>
  </si>
  <si>
    <t>Pruebas integrales completadas con evidencia y aprobación.</t>
  </si>
  <si>
    <t>H-09</t>
  </si>
  <si>
    <t>Ensayo de migración 2 conciliado</t>
  </si>
  <si>
    <t>Ensayo de migración 2 conciliado con evidencia y aprobación.</t>
  </si>
  <si>
    <t>H-10</t>
  </si>
  <si>
    <t>UAT aprobada</t>
  </si>
  <si>
    <t>UAT aprobada con evidencia y aprobación.</t>
  </si>
  <si>
    <t>H-11</t>
  </si>
  <si>
    <t>Capacitación completada</t>
  </si>
  <si>
    <t>Capacitación completada con evidencia y aprobación.</t>
  </si>
  <si>
    <t>H-12</t>
  </si>
  <si>
    <t>Ensayo de cutover aprobado</t>
  </si>
  <si>
    <t>Ensayo de cutover aprobado con evidencia y aprobación.</t>
  </si>
  <si>
    <t>H-13</t>
  </si>
  <si>
    <t>Go/No-Go aprobado</t>
  </si>
  <si>
    <t>Go/No-Go aprobado con evidencia y aprobación.</t>
  </si>
  <si>
    <t>H-14</t>
  </si>
  <si>
    <t>Salida productiva con evidencia y aprobación.</t>
  </si>
  <si>
    <t>H-15</t>
  </si>
  <si>
    <t>Cierre de estabilización</t>
  </si>
  <si>
    <t>Cierre de estabilización con evidencia y aprobación.</t>
  </si>
  <si>
    <t>PLAN DE MIGRACIÓN Y CONCILIACIÓN</t>
  </si>
  <si>
    <t>La salida exige diferencia 0,00 y conciliación firmada.</t>
  </si>
  <si>
    <t>Objeto</t>
  </si>
  <si>
    <t>Fuente</t>
  </si>
  <si>
    <t>Propietario</t>
  </si>
  <si>
    <t>Plantilla</t>
  </si>
  <si>
    <t>Corte</t>
  </si>
  <si>
    <t>Volumen</t>
  </si>
  <si>
    <t>Reg. origen</t>
  </si>
  <si>
    <t>Cargados</t>
  </si>
  <si>
    <t>Rechazados</t>
  </si>
  <si>
    <t>Diferencia</t>
  </si>
  <si>
    <t>Conciliación</t>
  </si>
  <si>
    <t>MIG-01</t>
  </si>
  <si>
    <t>Países monedas y zonas horarias</t>
  </si>
  <si>
    <t>Por definir</t>
  </si>
  <si>
    <t>Plantilla Países monedas y zonas horarias</t>
  </si>
  <si>
    <t>Pendiente</t>
  </si>
  <si>
    <t>Registros válidos cargados y rechazados aprobados</t>
  </si>
  <si>
    <t>MIG-02</t>
  </si>
  <si>
    <t>Subsidiarias y calendarios</t>
  </si>
  <si>
    <t>Plantilla Subsidiarias y calendarios</t>
  </si>
  <si>
    <t>MIG-03</t>
  </si>
  <si>
    <t>Departamentos y jerarquías</t>
  </si>
  <si>
    <t>Plantilla Departamentos y jerarquías</t>
  </si>
  <si>
    <t>MIG-04</t>
  </si>
  <si>
    <t>Plantilla Centros de costos</t>
  </si>
  <si>
    <t>MIG-05</t>
  </si>
  <si>
    <t>Usuarios roles y empresas</t>
  </si>
  <si>
    <t>Plantilla Usuarios roles y empresas</t>
  </si>
  <si>
    <t>MIG-06</t>
  </si>
  <si>
    <t>Plan de cuentas</t>
  </si>
  <si>
    <t>Plantilla Plan de cuentas</t>
  </si>
  <si>
    <t>MIG-07</t>
  </si>
  <si>
    <t>Libros y períodos</t>
  </si>
  <si>
    <t>Plantilla Libros y períodos</t>
  </si>
  <si>
    <t>MIG-08</t>
  </si>
  <si>
    <t>Impuestos y retenciones</t>
  </si>
  <si>
    <t>Plantilla Impuestos y retenciones</t>
  </si>
  <si>
    <t>MIG-09</t>
  </si>
  <si>
    <t>Tasas históricas</t>
  </si>
  <si>
    <t>Plantilla Tasas históricas</t>
  </si>
  <si>
    <t>MIG-10</t>
  </si>
  <si>
    <t>Clientes</t>
  </si>
  <si>
    <t>Plantilla Clientes</t>
  </si>
  <si>
    <t>MIG-11</t>
  </si>
  <si>
    <t>Proveedores</t>
  </si>
  <si>
    <t>Plantilla Proveedores</t>
  </si>
  <si>
    <t>MIG-12</t>
  </si>
  <si>
    <t>Plantilla Empleados</t>
  </si>
  <si>
    <t>MIG-13</t>
  </si>
  <si>
    <t>Plantilla Compañías relacionadas</t>
  </si>
  <si>
    <t>MIG-14</t>
  </si>
  <si>
    <t>Plantilla Productos y UOM</t>
  </si>
  <si>
    <t>MIG-15</t>
  </si>
  <si>
    <t>Existencias lotes y series</t>
  </si>
  <si>
    <t>Plantilla Existencias lotes y series</t>
  </si>
  <si>
    <t>MIG-16</t>
  </si>
  <si>
    <t>Libro Mayor inicial</t>
  </si>
  <si>
    <t>Plantilla Libro Mayor inicial</t>
  </si>
  <si>
    <t>Diferencia 0,00 y conciliación firmada</t>
  </si>
  <si>
    <t>MIG-17</t>
  </si>
  <si>
    <t>Facturas abiertas CxC</t>
  </si>
  <si>
    <t>Plantilla Facturas abiertas CxC</t>
  </si>
  <si>
    <t>MIG-18</t>
  </si>
  <si>
    <t>Anticipos clientes</t>
  </si>
  <si>
    <t>Plantilla Anticipos clientes</t>
  </si>
  <si>
    <t>MIG-19</t>
  </si>
  <si>
    <t>Facturas abiertas CxP</t>
  </si>
  <si>
    <t>Plantilla Facturas abiertas CxP</t>
  </si>
  <si>
    <t>MIG-20</t>
  </si>
  <si>
    <t>Anticipos proveedores</t>
  </si>
  <si>
    <t>Plantilla Anticipos proveedores</t>
  </si>
  <si>
    <t>MIG-21</t>
  </si>
  <si>
    <t>Plantilla Auxiliar Activos Fijos</t>
  </si>
  <si>
    <t>MIG-22</t>
  </si>
  <si>
    <t>Pendientes período actual</t>
  </si>
  <si>
    <t>Plantilla Pendientes período actual</t>
  </si>
  <si>
    <t>MIG-23</t>
  </si>
  <si>
    <t>Pendientes períodos anteriores</t>
  </si>
  <si>
    <t>Plantilla Pendientes períodos anteriores</t>
  </si>
  <si>
    <t>MIG-24</t>
  </si>
  <si>
    <t>Saldos bancarios</t>
  </si>
  <si>
    <t>Plantilla Saldos bancarios</t>
  </si>
  <si>
    <t>MIG-25</t>
  </si>
  <si>
    <t>Depósitos en tránsito</t>
  </si>
  <si>
    <t>Plantilla Depósitos en tránsito</t>
  </si>
  <si>
    <t>MIG-26</t>
  </si>
  <si>
    <t>Cheques en tránsito</t>
  </si>
  <si>
    <t>Plantilla Cheques en tránsito</t>
  </si>
  <si>
    <t>MIG-27</t>
  </si>
  <si>
    <t>Saldos intercompany</t>
  </si>
  <si>
    <t>Consolidación</t>
  </si>
  <si>
    <t>Plantilla Saldos intercompany</t>
  </si>
  <si>
    <t>PRUEBAS FUNCIONALES Y UAT</t>
  </si>
  <si>
    <t>No se autoriza Go-Live con defectos críticos abiertos.</t>
  </si>
  <si>
    <t>Proceso</t>
  </si>
  <si>
    <t>Escenario</t>
  </si>
  <si>
    <t>Precondición</t>
  </si>
  <si>
    <t>Pasos</t>
  </si>
  <si>
    <t>Resultado esperado</t>
  </si>
  <si>
    <t>Rol</t>
  </si>
  <si>
    <t>Fecha</t>
  </si>
  <si>
    <t>Resultado</t>
  </si>
  <si>
    <t>Severidad</t>
  </si>
  <si>
    <t>Incidencia</t>
  </si>
  <si>
    <t>Re-prueba</t>
  </si>
  <si>
    <t>UAT-001</t>
  </si>
  <si>
    <t>Escenario normal y de excepción de Países e identificadores ISO</t>
  </si>
  <si>
    <t>Maestros, permisos y período configurados</t>
  </si>
  <si>
    <t>Piloto / filial asignada</t>
  </si>
  <si>
    <t>No ejecutado</t>
  </si>
  <si>
    <t>Sin defecto</t>
  </si>
  <si>
    <t>UAT-002</t>
  </si>
  <si>
    <t>Escenario normal y de excepción de Idiomas y zonas horarias</t>
  </si>
  <si>
    <t>UAT-003</t>
  </si>
  <si>
    <t>Escenario normal y de excepción de Monedas y precisión cambiaria</t>
  </si>
  <si>
    <t>UAT-004</t>
  </si>
  <si>
    <t>Escenario normal y de excepción de Estados maestros</t>
  </si>
  <si>
    <t>UAT-005</t>
  </si>
  <si>
    <t>Escenario normal y de excepción de Tipos de transacción</t>
  </si>
  <si>
    <t>UAT-006</t>
  </si>
  <si>
    <t>Escenario normal y de excepción de Secuencias por filial y transacción</t>
  </si>
  <si>
    <t>UAT-007</t>
  </si>
  <si>
    <t>Escenario normal y de excepción de Prefijos, longitud y consecutivo inicial</t>
  </si>
  <si>
    <t>UAT-008</t>
  </si>
  <si>
    <t>Escenario normal y de excepción de Parámetros globales</t>
  </si>
  <si>
    <t>UAT-009</t>
  </si>
  <si>
    <t>Escenario normal y de excepción de Configuraciones por alcance</t>
  </si>
  <si>
    <t>UAT-010</t>
  </si>
  <si>
    <t>Escenario normal y de excepción de Jerarquía de subsidiarias</t>
  </si>
  <si>
    <t>UAT-011</t>
  </si>
  <si>
    <t>Escenario normal y de excepción de Años y calendarios fiscales</t>
  </si>
  <si>
    <t>UAT-012</t>
  </si>
  <si>
    <t>Escenario normal y de excepción de Períodos contables</t>
  </si>
  <si>
    <t>UAT-013</t>
  </si>
  <si>
    <t>Escenario normal y de excepción de Moneda funcional y zona horaria por filial</t>
  </si>
  <si>
    <t>UAT-014</t>
  </si>
  <si>
    <t>Escenario normal y de excepción de Sucursales y ubicaciones</t>
  </si>
  <si>
    <t>UAT-015</t>
  </si>
  <si>
    <t>Escenario normal y de excepción de Tipos de departamento Cliente e Interno</t>
  </si>
  <si>
    <t>UAT-016</t>
  </si>
  <si>
    <t>Escenario normal y de excepción de Departamentos y jerarquía</t>
  </si>
  <si>
    <t>UAT-017</t>
  </si>
  <si>
    <t>Escenario normal y de excepción de Clases analíticas</t>
  </si>
  <si>
    <t>UAT-018</t>
  </si>
  <si>
    <t>Escenario normal y de excepción de Centros de costos</t>
  </si>
  <si>
    <t>UAT-019</t>
  </si>
  <si>
    <t>Escenario normal y de excepción de Acreedores financieros</t>
  </si>
  <si>
    <t>UAT-020</t>
  </si>
  <si>
    <t>Escenario normal y de excepción de Compañías relacionadas</t>
  </si>
  <si>
    <t>UAT-021</t>
  </si>
  <si>
    <t>Escenario normal y de excepción de Aprobadores por filial</t>
  </si>
  <si>
    <t>UAT-022</t>
  </si>
  <si>
    <t>Escenario normal y de excepción de Obligatoriedad de dimensiones</t>
  </si>
  <si>
    <t>UAT-023</t>
  </si>
  <si>
    <t>Escenario normal y de excepción de Usuarios e invitación segura</t>
  </si>
  <si>
    <t>UAT-024</t>
  </si>
  <si>
    <t>Escenario normal y de excepción de Roles corporativos y locales</t>
  </si>
  <si>
    <t>UAT-025</t>
  </si>
  <si>
    <t>Escenario normal y de excepción de Permisos Ver Crear Editar Eliminar</t>
  </si>
  <si>
    <t>UAT-026</t>
  </si>
  <si>
    <t>Escenario normal y de excepción de Roles por usuario</t>
  </si>
  <si>
    <t>UAT-027</t>
  </si>
  <si>
    <t>Escenario normal y de excepción de Empresas por usuario</t>
  </si>
  <si>
    <t>UAT-028</t>
  </si>
  <si>
    <t>Escenario normal y de excepción de Segregación de funciones</t>
  </si>
  <si>
    <t>UAT-029</t>
  </si>
  <si>
    <t>Escenario normal y de excepción de Cambio y recuperación de contraseña</t>
  </si>
  <si>
    <t>UAT-030</t>
  </si>
  <si>
    <t>Escenario normal y de excepción de Sesiones y dispositivos</t>
  </si>
  <si>
    <t>UAT-031</t>
  </si>
  <si>
    <t>Escenario normal y de excepción de Historial de acceso</t>
  </si>
  <si>
    <t>UAT-032</t>
  </si>
  <si>
    <t>Escenario normal y de excepción de Menús y permisos</t>
  </si>
  <si>
    <t>UAT-033</t>
  </si>
  <si>
    <t>Escenario normal y de excepción de Términos de pago</t>
  </si>
  <si>
    <t>UAT-034</t>
  </si>
  <si>
    <t>Escenario normal y de excepción de Métodos de pago</t>
  </si>
  <si>
    <t>UAT-035</t>
  </si>
  <si>
    <t>Escenario normal y de excepción de Unidades de medida</t>
  </si>
  <si>
    <t>UAT-036</t>
  </si>
  <si>
    <t>Escenario normal y de excepción de Tipos, códigos y grupos de impuestos</t>
  </si>
  <si>
    <t>UAT-037</t>
  </si>
  <si>
    <t>Escenario normal y de excepción de Retenciones y autorretenciones</t>
  </si>
  <si>
    <t>UAT-038</t>
  </si>
  <si>
    <t>Escenario normal y de excepción de Agencias tributarias por filial</t>
  </si>
  <si>
    <t>UAT-039</t>
  </si>
  <si>
    <t>Escenario normal y de excepción de Series y tipos documentales</t>
  </si>
  <si>
    <t>UAT-040</t>
  </si>
  <si>
    <t>Escenario normal y de excepción de Días feriados</t>
  </si>
  <si>
    <t>UAT-041</t>
  </si>
  <si>
    <t>Escenario normal y de excepción de Tipos de cambio diarios</t>
  </si>
  <si>
    <t>UAT-042</t>
  </si>
  <si>
    <t>Escenario normal y de excepción de Tasas consolidadas</t>
  </si>
  <si>
    <t>UAT-043</t>
  </si>
  <si>
    <t>Escenario normal y de excepción de Fuentes y tolerancias de tasa</t>
  </si>
  <si>
    <t>UAT-044</t>
  </si>
  <si>
    <t>Escenario normal y de excepción de Plantillas de notificación</t>
  </si>
  <si>
    <t>UAT-045</t>
  </si>
  <si>
    <t>Escenario normal y de excepción de Mantenimiento de aprobadores UP</t>
  </si>
  <si>
    <t>UAT-046</t>
  </si>
  <si>
    <t>Escenario normal y de excepción de Libros local y fiscal</t>
  </si>
  <si>
    <t>UAT-047</t>
  </si>
  <si>
    <t>Escenario normal y de excepción de Grupos del plan de cuentas</t>
  </si>
  <si>
    <t>UAT-048</t>
  </si>
  <si>
    <t>Escenario normal y de excepción de Plan de cuentas por filial</t>
  </si>
  <si>
    <t>UAT-049</t>
  </si>
  <si>
    <t>Escenario normal y de excepción de Naturaleza, moneda y revaluación por cuenta</t>
  </si>
  <si>
    <t>UAT-050</t>
  </si>
  <si>
    <t>Escenario normal y de excepción de Dimensiones y excepciones financieras</t>
  </si>
  <si>
    <t>UAT-051</t>
  </si>
  <si>
    <t>Escenario normal y de excepción de Actividad de flujo de efectivo</t>
  </si>
  <si>
    <t>UAT-052</t>
  </si>
  <si>
    <t>Escenario normal y de excepción de Cuentas de control CxC y CxP</t>
  </si>
  <si>
    <t>UAT-053</t>
  </si>
  <si>
    <t>Escenario normal y de excepción de Cuentas intercompany Expense y Caja Chica</t>
  </si>
  <si>
    <t>UAT-054</t>
  </si>
  <si>
    <t>Escenario normal y de excepción de Cuentas bancarias anticipos e impuestos</t>
  </si>
  <si>
    <t>UAT-055</t>
  </si>
  <si>
    <t>Escenario normal y de excepción de Reglas de asignación contable</t>
  </si>
  <si>
    <t>UAT-056</t>
  </si>
  <si>
    <t>Escenario normal y de excepción de Asientos manuales y recurrentes</t>
  </si>
  <si>
    <t>UAT-057</t>
  </si>
  <si>
    <t>Escenario normal y de excepción de Importación masiva de asientos</t>
  </si>
  <si>
    <t>UAT-058</t>
  </si>
  <si>
    <t>Escenario normal y de excepción de ASI_NOM ASI_LIQ ASI_DIA y mes de servicio</t>
  </si>
  <si>
    <t>UAT-059</t>
  </si>
  <si>
    <t>Escenario normal y de excepción de Presupuestos</t>
  </si>
  <si>
    <t>UAT-060</t>
  </si>
  <si>
    <t>Escenario normal y de excepción de Cierre y reapertura</t>
  </si>
  <si>
    <t>UAT-061</t>
  </si>
  <si>
    <t>Escenario normal y de excepción de Revaluación de moneda extranjera</t>
  </si>
  <si>
    <t>UAT-062</t>
  </si>
  <si>
    <t>UAT-063</t>
  </si>
  <si>
    <t>Escenario normal y de excepción de Encabezados y líneas</t>
  </si>
  <si>
    <t>UAT-064</t>
  </si>
  <si>
    <t>Escenario normal y de excepción de Dimensiones transaccionales</t>
  </si>
  <si>
    <t>UAT-065</t>
  </si>
  <si>
    <t>Escenario normal y de excepción de Impactos contables</t>
  </si>
  <si>
    <t>UAT-066</t>
  </si>
  <si>
    <t>Escenario normal y de excepción de Reglas de débito y crédito</t>
  </si>
  <si>
    <t>UAT-067</t>
  </si>
  <si>
    <t>Escenario normal y de excepción de Idempotencia</t>
  </si>
  <si>
    <t>UAT-068</t>
  </si>
  <si>
    <t>Escenario normal y de excepción de Trazabilidad documento-asiento</t>
  </si>
  <si>
    <t>UAT-069</t>
  </si>
  <si>
    <t>Escenario normal y de excepción de Partida doble al centavo</t>
  </si>
  <si>
    <t>UAT-070</t>
  </si>
  <si>
    <t>Escenario normal y de excepción de Clientes e identificaciones fiscales</t>
  </si>
  <si>
    <t>UAT-071</t>
  </si>
  <si>
    <t>Escenario normal y de excepción de Proveedores y categorías</t>
  </si>
  <si>
    <t>UAT-072</t>
  </si>
  <si>
    <t>Escenario normal y de excepción de Empleados</t>
  </si>
  <si>
    <t>UAT-073</t>
  </si>
  <si>
    <t>Escenario normal y de excepción de Entidades por subsidiaria</t>
  </si>
  <si>
    <t>UAT-074</t>
  </si>
  <si>
    <t>Escenario normal y de excepción de Monedas autorizadas</t>
  </si>
  <si>
    <t>UAT-075</t>
  </si>
  <si>
    <t>Escenario normal y de excepción de Términos y límites de crédito</t>
  </si>
  <si>
    <t>UAT-076</t>
  </si>
  <si>
    <t>Escenario normal y de excepción de Retenciones por tercero</t>
  </si>
  <si>
    <t>UAT-077</t>
  </si>
  <si>
    <t>Escenario normal y de excepción de Clientes y proveedores intercompany</t>
  </si>
  <si>
    <t>UAT-078</t>
  </si>
  <si>
    <t>Escenario normal y de excepción de Agencias tributarias</t>
  </si>
  <si>
    <t>UAT-079</t>
  </si>
  <si>
    <t>Escenario normal y de excepción de Datos bancarios del tercero</t>
  </si>
  <si>
    <t>UAT-080</t>
  </si>
  <si>
    <t>Escenario normal y de excepción de Listas de precios</t>
  </si>
  <si>
    <t>UAT-081</t>
  </si>
  <si>
    <t>Escenario normal y de excepción de Cotizaciones</t>
  </si>
  <si>
    <t>UAT-082</t>
  </si>
  <si>
    <t>Escenario normal y de excepción de Órdenes de venta</t>
  </si>
  <si>
    <t>UAT-083</t>
  </si>
  <si>
    <t>Escenario normal y de excepción de Despachos</t>
  </si>
  <si>
    <t>UAT-084</t>
  </si>
  <si>
    <t>Escenario normal y de excepción de Facturas de venta</t>
  </si>
  <si>
    <t>UAT-085</t>
  </si>
  <si>
    <t>Escenario normal y de excepción de Numeración y tasa de cambio</t>
  </si>
  <si>
    <t>UAT-086</t>
  </si>
  <si>
    <t>Escenario normal y de excepción de Impuestos y retenciones por línea</t>
  </si>
  <si>
    <t>UAT-087</t>
  </si>
  <si>
    <t>Escenario normal y de excepción de PDF normal y unificado</t>
  </si>
  <si>
    <t>UAT-088</t>
  </si>
  <si>
    <t>Escenario normal y de excepción de Notas de crédito y débito</t>
  </si>
  <si>
    <t>UAT-089</t>
  </si>
  <si>
    <t>Escenario normal y de excepción de Cobros de clientes</t>
  </si>
  <si>
    <t>UAT-090</t>
  </si>
  <si>
    <t>Escenario normal y de excepción de Comisiones bancarias en cobros</t>
  </si>
  <si>
    <t>UAT-091</t>
  </si>
  <si>
    <t>Escenario normal y de excepción de Anticipos y aplicaciones parciales</t>
  </si>
  <si>
    <t>UAT-092</t>
  </si>
  <si>
    <t>Escenario normal y de excepción de Facturación intercompany</t>
  </si>
  <si>
    <t>UAT-093</t>
  </si>
  <si>
    <t>Escenario normal y de excepción de Estados de cuenta</t>
  </si>
  <si>
    <t>UAT-094</t>
  </si>
  <si>
    <t>Escenario normal y de excepción de Solicitudes de compra</t>
  </si>
  <si>
    <t>UAT-095</t>
  </si>
  <si>
    <t>Escenario normal y de excepción de Cotizaciones de proveedores</t>
  </si>
  <si>
    <t>UAT-096</t>
  </si>
  <si>
    <t>Escenario normal y de excepción de Órdenes de compra</t>
  </si>
  <si>
    <t>UAT-097</t>
  </si>
  <si>
    <t>Escenario normal y de excepción de Recepciones</t>
  </si>
  <si>
    <t>UAT-098</t>
  </si>
  <si>
    <t>Escenario normal y de excepción de Factura estándar</t>
  </si>
  <si>
    <t>UAT-099</t>
  </si>
  <si>
    <t>Escenario normal y de excepción de Factura de activo fijo</t>
  </si>
  <si>
    <t>UAT-100</t>
  </si>
  <si>
    <t>Escenario normal y de excepción de Factura Expense</t>
  </si>
  <si>
    <t>UAT-101</t>
  </si>
  <si>
    <t>Escenario normal y de excepción de Factura Caja Chica</t>
  </si>
  <si>
    <t>UAT-102</t>
  </si>
  <si>
    <t>Escenario normal y de excepción de Cuenta CxP normal e intercompany</t>
  </si>
  <si>
    <t>UAT-103</t>
  </si>
  <si>
    <t>Escenario normal y de excepción de Retenciones</t>
  </si>
  <si>
    <t>UAT-104</t>
  </si>
  <si>
    <t>Escenario normal y de excepción de Archivos de respaldo</t>
  </si>
  <si>
    <t>UAT-105</t>
  </si>
  <si>
    <t>UAT-106</t>
  </si>
  <si>
    <t>Escenario normal y de excepción de Pagos parciales y anticipos</t>
  </si>
  <si>
    <t>UAT-107</t>
  </si>
  <si>
    <t>Escenario normal y de excepción de Lotes de pago</t>
  </si>
  <si>
    <t>UAT-108</t>
  </si>
  <si>
    <t>Escenario normal y de excepción de Tipos y políticas de gasto</t>
  </si>
  <si>
    <t>UAT-109</t>
  </si>
  <si>
    <t>Escenario normal y de excepción de Solicitud de gasto</t>
  </si>
  <si>
    <t>UAT-110</t>
  </si>
  <si>
    <t>Escenario normal y de excepción de Dimensiones del gasto</t>
  </si>
  <si>
    <t>UAT-111</t>
  </si>
  <si>
    <t>Escenario normal y de excepción de Aprobación administrativa y de proyectos</t>
  </si>
  <si>
    <t>UAT-112</t>
  </si>
  <si>
    <t>Escenario normal y de excepción de Documentos de respaldo</t>
  </si>
  <si>
    <t>UAT-113</t>
  </si>
  <si>
    <t>Escenario normal y de excepción de Pago y contabilización</t>
  </si>
  <si>
    <t>UAT-114</t>
  </si>
  <si>
    <t>Escenario normal y de excepción de Informes de gasto y presupuesto</t>
  </si>
  <si>
    <t>UAT-115</t>
  </si>
  <si>
    <t>Escenario normal y de excepción de Flujos y pasos</t>
  </si>
  <si>
    <t>UAT-116</t>
  </si>
  <si>
    <t>Escenario normal y de excepción de Reglas y acciones</t>
  </si>
  <si>
    <t>UAT-117</t>
  </si>
  <si>
    <t>Escenario normal y de excepción de Matrices por transacción y monto</t>
  </si>
  <si>
    <t>UAT-118</t>
  </si>
  <si>
    <t>Escenario normal y de excepción de Departamento Cliente y Aprobador UP</t>
  </si>
  <si>
    <t>UAT-119</t>
  </si>
  <si>
    <t>Escenario normal y de excepción de UP por defecto de filial</t>
  </si>
  <si>
    <t>UAT-120</t>
  </si>
  <si>
    <t>Escenario normal y de excepción de Departamento Interno y Aprobador Administrativo</t>
  </si>
  <si>
    <t>UAT-121</t>
  </si>
  <si>
    <t>Escenario normal y de excepción de Agencia Tributaria y Supervisor tributario</t>
  </si>
  <si>
    <t>UAT-122</t>
  </si>
  <si>
    <t>Escenario normal y de excepción de Escalamiento a administrador</t>
  </si>
  <si>
    <t>UAT-123</t>
  </si>
  <si>
    <t>Escenario normal y de excepción de Rechazo devolución y suplencias</t>
  </si>
  <si>
    <t>UAT-124</t>
  </si>
  <si>
    <t>Escenario normal y de excepción de Bandeja Mis aprobaciones</t>
  </si>
  <si>
    <t>UAT-125</t>
  </si>
  <si>
    <t>Escenario normal y de excepción de Correos y enlaces</t>
  </si>
  <si>
    <t>UAT-126</t>
  </si>
  <si>
    <t>Escenario normal y de excepción de Historial de decisiones</t>
  </si>
  <si>
    <t>UAT-127</t>
  </si>
  <si>
    <t>Escenario normal y de excepción de Catálogo de bancos</t>
  </si>
  <si>
    <t>UAT-128</t>
  </si>
  <si>
    <t>Escenario normal y de excepción de Cuentas por filial y moneda</t>
  </si>
  <si>
    <t>UAT-129</t>
  </si>
  <si>
    <t>Escenario normal y de excepción de Vínculo cuenta bancaria-contable</t>
  </si>
  <si>
    <t>UAT-130</t>
  </si>
  <si>
    <t>Escenario normal y de excepción de Extractos bancarios</t>
  </si>
  <si>
    <t>UAT-131</t>
  </si>
  <si>
    <t>Escenario normal y de excepción de Importación CSV Excel OFX</t>
  </si>
  <si>
    <t>UAT-132</t>
  </si>
  <si>
    <t>Escenario normal y de excepción de Conciliación automática</t>
  </si>
  <si>
    <t>UAT-133</t>
  </si>
  <si>
    <t>Escenario normal y de excepción de Conciliación manual</t>
  </si>
  <si>
    <t>UAT-134</t>
  </si>
  <si>
    <t>Escenario normal y de excepción de Partidas en tránsito</t>
  </si>
  <si>
    <t>UAT-135</t>
  </si>
  <si>
    <t>Escenario normal y de excepción de Comisiones bancarias masivas</t>
  </si>
  <si>
    <t>UAT-136</t>
  </si>
  <si>
    <t>Escenario normal y de excepción de Transferencias cheques y depósitos</t>
  </si>
  <si>
    <t>UAT-137</t>
  </si>
  <si>
    <t>Escenario normal y de excepción de Prueba de efectivo cuatro columnas</t>
  </si>
  <si>
    <t>UAT-138</t>
  </si>
  <si>
    <t>Escenario normal y de excepción de Cierre de conciliación</t>
  </si>
  <si>
    <t>UAT-139</t>
  </si>
  <si>
    <t>Escenario normal y de excepción de Solicitudes de pago CxP</t>
  </si>
  <si>
    <t>UAT-140</t>
  </si>
  <si>
    <t>Escenario normal y de excepción de Otros pagos por imputación directa</t>
  </si>
  <si>
    <t>UAT-141</t>
  </si>
  <si>
    <t>Escenario normal y de excepción de Pagos a agencias tributarias</t>
  </si>
  <si>
    <t>UAT-142</t>
  </si>
  <si>
    <t>Escenario normal y de excepción de Dimensiones por línea</t>
  </si>
  <si>
    <t>UAT-143</t>
  </si>
  <si>
    <t>Escenario normal y de excepción de Aprobación de solicitudes</t>
  </si>
  <si>
    <t>UAT-144</t>
  </si>
  <si>
    <t>Escenario normal y de excepción de Pagos a proveedores</t>
  </si>
  <si>
    <t>UAT-145</t>
  </si>
  <si>
    <t>Escenario normal y de excepción de Archivos de pago masivo</t>
  </si>
  <si>
    <t>UAT-146</t>
  </si>
  <si>
    <t>Escenario normal y de excepción de Historial de lotes</t>
  </si>
  <si>
    <t>UAT-147</t>
  </si>
  <si>
    <t>Escenario normal y de excepción de Cajas aperturas y cierres</t>
  </si>
  <si>
    <t>UAT-148</t>
  </si>
  <si>
    <t>Escenario normal y de excepción de Transferencias entre cajas</t>
  </si>
  <si>
    <t>UAT-149</t>
  </si>
  <si>
    <t>Escenario normal y de excepción de Posición de efectivo</t>
  </si>
  <si>
    <t>UAT-150</t>
  </si>
  <si>
    <t>Escenario normal y de excepción de Categorías y cuentas</t>
  </si>
  <si>
    <t>UAT-151</t>
  </si>
  <si>
    <t>Escenario normal y de excepción de Métodos vida útil y residual</t>
  </si>
  <si>
    <t>UAT-152</t>
  </si>
  <si>
    <t>Escenario normal y de excepción de Alta manual y desde factura</t>
  </si>
  <si>
    <t>UAT-153</t>
  </si>
  <si>
    <t>Escenario normal y de excepción de Fecha en servicio</t>
  </si>
  <si>
    <t>UAT-154</t>
  </si>
  <si>
    <t>Escenario normal y de excepción de Propuestas de capitalización</t>
  </si>
  <si>
    <t>UAT-155</t>
  </si>
  <si>
    <t>Escenario normal y de excepción de Auxiliar histórico</t>
  </si>
  <si>
    <t>UAT-156</t>
  </si>
  <si>
    <t>Escenario normal y de excepción de Depreciación e idempotencia</t>
  </si>
  <si>
    <t>UAT-157</t>
  </si>
  <si>
    <t>Escenario normal y de excepción de Transferencias</t>
  </si>
  <si>
    <t>UAT-158</t>
  </si>
  <si>
    <t>Escenario normal y de excepción de Mantenimientos</t>
  </si>
  <si>
    <t>UAT-159</t>
  </si>
  <si>
    <t>Escenario normal y de excepción de Deterioros bajas y ventas</t>
  </si>
  <si>
    <t>UAT-160</t>
  </si>
  <si>
    <t>Escenario normal y de excepción de Reportes y conciliación</t>
  </si>
  <si>
    <t>UAT-161</t>
  </si>
  <si>
    <t>Escenario normal y de excepción de Categorías marcas grupos y tipos</t>
  </si>
  <si>
    <t>UAT-162</t>
  </si>
  <si>
    <t>Escenario normal y de excepción de Productos y UOM</t>
  </si>
  <si>
    <t>UAT-163</t>
  </si>
  <si>
    <t>Escenario normal y de excepción de Productos por filial</t>
  </si>
  <si>
    <t>UAT-164</t>
  </si>
  <si>
    <t>Escenario normal y de excepción de Proveedores por producto</t>
  </si>
  <si>
    <t>UAT-165</t>
  </si>
  <si>
    <t>Escenario normal y de excepción de Imágenes y códigos de barra</t>
  </si>
  <si>
    <t>UAT-166</t>
  </si>
  <si>
    <t>Escenario normal y de excepción de Almacenes zonas y bins</t>
  </si>
  <si>
    <t>UAT-167</t>
  </si>
  <si>
    <t>Escenario normal y de excepción de Existencias iniciales</t>
  </si>
  <si>
    <t>UAT-168</t>
  </si>
  <si>
    <t>Escenario normal y de excepción de Lotes y series</t>
  </si>
  <si>
    <t>UAT-169</t>
  </si>
  <si>
    <t>Escenario normal y de excepción de Entradas y salidas</t>
  </si>
  <si>
    <t>UAT-170</t>
  </si>
  <si>
    <t>Escenario normal y de excepción de Transferencias y ajustes</t>
  </si>
  <si>
    <t>UAT-171</t>
  </si>
  <si>
    <t>Escenario normal y de excepción de Reservas</t>
  </si>
  <si>
    <t>UAT-172</t>
  </si>
  <si>
    <t>Escenario normal y de excepción de Valoración contable</t>
  </si>
  <si>
    <t>UAT-173</t>
  </si>
  <si>
    <t>Escenario normal y de excepción de Obligaciones tributarias</t>
  </si>
  <si>
    <t>UAT-174</t>
  </si>
  <si>
    <t>Escenario normal y de excepción de Calendario y vencimientos</t>
  </si>
  <si>
    <t>UAT-175</t>
  </si>
  <si>
    <t>Escenario normal y de excepción de Notificaciones fiscales</t>
  </si>
  <si>
    <t>UAT-176</t>
  </si>
  <si>
    <t>Escenario normal y de excepción de IVA/GCT ventas por tarifa</t>
  </si>
  <si>
    <t>UAT-177</t>
  </si>
  <si>
    <t>Escenario normal y de excepción de IVA/GCT compras por tarifa</t>
  </si>
  <si>
    <t>UAT-178</t>
  </si>
  <si>
    <t>Escenario normal y de excepción de Notas de crédito débito e importaciones</t>
  </si>
  <si>
    <t>UAT-179</t>
  </si>
  <si>
    <t>Escenario normal y de excepción de Retenciones y saldo a favor</t>
  </si>
  <si>
    <t>UAT-180</t>
  </si>
  <si>
    <t>Escenario normal y de excepción de Posición neta</t>
  </si>
  <si>
    <t>UAT-181</t>
  </si>
  <si>
    <t>Escenario normal y de excepción de Drill-down a documento y línea</t>
  </si>
  <si>
    <t>UAT-182</t>
  </si>
  <si>
    <t>Escenario normal y de excepción de Balance General de ocho columnas</t>
  </si>
  <si>
    <t>UAT-183</t>
  </si>
  <si>
    <t>Escenario normal y de excepción de Dimensión Compañía relacionada</t>
  </si>
  <si>
    <t>UAT-184</t>
  </si>
  <si>
    <t>Escenario normal y de excepción de Cuentas comerciales 113002 y 211002</t>
  </si>
  <si>
    <t>UAT-185</t>
  </si>
  <si>
    <t>Escenario normal y de excepción de Préstamos intercompany</t>
  </si>
  <si>
    <t>UAT-186</t>
  </si>
  <si>
    <t>Escenario normal y de excepción de Saldos recíprocos</t>
  </si>
  <si>
    <t>UAT-187</t>
  </si>
  <si>
    <t>Escenario normal y de excepción de Holding y perímetro</t>
  </si>
  <si>
    <t>UAT-188</t>
  </si>
  <si>
    <t>Escenario normal y de excepción de Tasas de cierre promedio e históricas</t>
  </si>
  <si>
    <t>UAT-189</t>
  </si>
  <si>
    <t>Escenario normal y de excepción de Conversión NIC 21</t>
  </si>
  <si>
    <t>UAT-190</t>
  </si>
  <si>
    <t>Escenario normal y de excepción de Eliminaciones</t>
  </si>
  <si>
    <t>UAT-191</t>
  </si>
  <si>
    <t>Escenario normal y de excepción de Estados consolidados</t>
  </si>
  <si>
    <t>UAT-192</t>
  </si>
  <si>
    <t>Escenario normal y de excepción de Diferencias de consolidación</t>
  </si>
  <si>
    <t>UAT-193</t>
  </si>
  <si>
    <t>Escenario normal y de excepción de Carpetas</t>
  </si>
  <si>
    <t>UAT-194</t>
  </si>
  <si>
    <t>Escenario normal y de excepción de Tipos extensiones y tamaños</t>
  </si>
  <si>
    <t>UAT-195</t>
  </si>
  <si>
    <t>Escenario normal y de excepción de Carga y descarga</t>
  </si>
  <si>
    <t>UAT-196</t>
  </si>
  <si>
    <t>Escenario normal y de excepción de Versiones</t>
  </si>
  <si>
    <t>UAT-197</t>
  </si>
  <si>
    <t>Escenario normal y de excepción de Relación documento-transacción</t>
  </si>
  <si>
    <t>UAT-198</t>
  </si>
  <si>
    <t>Escenario normal y de excepción de Permisos</t>
  </si>
  <si>
    <t>UAT-199</t>
  </si>
  <si>
    <t>Escenario normal y de excepción de Plantillas PDF</t>
  </si>
  <si>
    <t>UAT-200</t>
  </si>
  <si>
    <t>Escenario normal y de excepción de Retención y respaldo</t>
  </si>
  <si>
    <t>UAT-201</t>
  </si>
  <si>
    <t>Escenario normal y de excepción de Bitácora general</t>
  </si>
  <si>
    <t>UAT-202</t>
  </si>
  <si>
    <t>Escenario normal y de excepción de Autoría humana sistema API e IA</t>
  </si>
  <si>
    <t>UAT-203</t>
  </si>
  <si>
    <t>Escenario normal y de excepción de Cambios por campo</t>
  </si>
  <si>
    <t>UAT-204</t>
  </si>
  <si>
    <t>Escenario normal y de excepción de Eventos del sistema</t>
  </si>
  <si>
    <t>UAT-205</t>
  </si>
  <si>
    <t>Escenario normal y de excepción de Actividad de usuarios</t>
  </si>
  <si>
    <t>UAT-206</t>
  </si>
  <si>
    <t>Escenario normal y de excepción de Registros eliminados</t>
  </si>
  <si>
    <t>UAT-207</t>
  </si>
  <si>
    <t>Escenario normal y de excepción de Reporte mensual modificados/eliminados</t>
  </si>
  <si>
    <t>UAT-208</t>
  </si>
  <si>
    <t>Escenario normal y de excepción de Indicadores de calidad</t>
  </si>
  <si>
    <t>UAT-209</t>
  </si>
  <si>
    <t>Escenario normal y de excepción de Balance de Comprobación</t>
  </si>
  <si>
    <t>UAT-210</t>
  </si>
  <si>
    <t>Escenario normal y de excepción de Libro Mayor</t>
  </si>
  <si>
    <t>UAT-211</t>
  </si>
  <si>
    <t>Escenario normal y de excepción de Libro Diario</t>
  </si>
  <si>
    <t>UAT-212</t>
  </si>
  <si>
    <t>Escenario normal y de excepción de Estado de Situación Financiera</t>
  </si>
  <si>
    <t>UAT-213</t>
  </si>
  <si>
    <t>Escenario normal y de excepción de Estado de Resultados Integral</t>
  </si>
  <si>
    <t>UAT-214</t>
  </si>
  <si>
    <t>Escenario normal y de excepción de Flujo de Efectivo</t>
  </si>
  <si>
    <t>UAT-215</t>
  </si>
  <si>
    <t>Escenario normal y de excepción de Cambios en el Patrimonio</t>
  </si>
  <si>
    <t>UAT-216</t>
  </si>
  <si>
    <t>Escenario normal y de excepción de Antigüedad CxC</t>
  </si>
  <si>
    <t>UAT-217</t>
  </si>
  <si>
    <t>Escenario normal y de excepción de Antigüedad CxP</t>
  </si>
  <si>
    <t>UAT-218</t>
  </si>
  <si>
    <t>Escenario normal y de excepción de Ventas y compras</t>
  </si>
  <si>
    <t>UAT-219</t>
  </si>
  <si>
    <t>Escenario normal y de excepción de Pendientes de facturar</t>
  </si>
  <si>
    <t>UAT-220</t>
  </si>
  <si>
    <t>Escenario normal y de excepción de Bancos y conciliación</t>
  </si>
  <si>
    <t>UAT-221</t>
  </si>
  <si>
    <t>Escenario normal y de excepción de IVA/GCT</t>
  </si>
  <si>
    <t>UAT-222</t>
  </si>
  <si>
    <t>Escenario normal y de excepción de Revaluación</t>
  </si>
  <si>
    <t>UAT-223</t>
  </si>
  <si>
    <t>UAT-224</t>
  </si>
  <si>
    <t>Escenario normal y de excepción de Cuentas comerciales intercompany</t>
  </si>
  <si>
    <t>UAT-225</t>
  </si>
  <si>
    <t>Escenario normal y de excepción de Solicitudes de pago</t>
  </si>
  <si>
    <t>UAT-226</t>
  </si>
  <si>
    <t>Escenario normal y de excepción de Activos Fijos</t>
  </si>
  <si>
    <t>UAT-227</t>
  </si>
  <si>
    <t>Escenario normal y de excepción de Exportaciones PDF Excel CSV</t>
  </si>
  <si>
    <t>UAT-228</t>
  </si>
  <si>
    <t>Escenario normal y de excepción de Envíos programados</t>
  </si>
  <si>
    <t>UAT-229</t>
  </si>
  <si>
    <t>Escenario normal y de excepción de Casos de uso y datos permitidos</t>
  </si>
  <si>
    <t>UAT-230</t>
  </si>
  <si>
    <t>Escenario normal y de excepción de Agentes de IA</t>
  </si>
  <si>
    <t>UAT-231</t>
  </si>
  <si>
    <t>Escenario normal y de excepción de Plantillas de prompts</t>
  </si>
  <si>
    <t>UAT-232</t>
  </si>
  <si>
    <t>Escenario normal y de excepción de Conversaciones</t>
  </si>
  <si>
    <t>UAT-233</t>
  </si>
  <si>
    <t>Escenario normal y de excepción de Documentos OCR</t>
  </si>
  <si>
    <t>UAT-234</t>
  </si>
  <si>
    <t>Escenario normal y de excepción de Predicciones</t>
  </si>
  <si>
    <t>UAT-235</t>
  </si>
  <si>
    <t>Escenario normal y de excepción de Aprobación humana</t>
  </si>
  <si>
    <t>UAT-236</t>
  </si>
  <si>
    <t>Escenario normal y de excepción de Auditoría y confianza</t>
  </si>
  <si>
    <t>PLAN DE CAPACITACIÓN</t>
  </si>
  <si>
    <t>Control de cobertura, evaluación y evidencia.</t>
  </si>
  <si>
    <t>Tema</t>
  </si>
  <si>
    <t>Audiencia</t>
  </si>
  <si>
    <t>Contenido</t>
  </si>
  <si>
    <t>Instructor</t>
  </si>
  <si>
    <t>Modalidad</t>
  </si>
  <si>
    <t>Horas</t>
  </si>
  <si>
    <t>Material</t>
  </si>
  <si>
    <t>Esperados</t>
  </si>
  <si>
    <t>Asistentes</t>
  </si>
  <si>
    <t>Cobertura</t>
  </si>
  <si>
    <t>Evaluación</t>
  </si>
  <si>
    <t>CAP-01</t>
  </si>
  <si>
    <t>Acceso y navegación</t>
  </si>
  <si>
    <t>Todos los usuarios</t>
  </si>
  <si>
    <t>Operación, controles, excepciones y práctica de Acceso y navegación</t>
  </si>
  <si>
    <t>Consultor GENTIA</t>
  </si>
  <si>
    <t>Virtual / presencial</t>
  </si>
  <si>
    <t>Guía rápida y ejercicio</t>
  </si>
  <si>
    <t>CAP-02</t>
  </si>
  <si>
    <t>Usuarios roles y filiales</t>
  </si>
  <si>
    <t>Administradores</t>
  </si>
  <si>
    <t>Operación, controles, excepciones y práctica de Usuarios roles y filiales</t>
  </si>
  <si>
    <t>CAP-03</t>
  </si>
  <si>
    <t>CORE y Organización</t>
  </si>
  <si>
    <t>Administradores funcionales</t>
  </si>
  <si>
    <t>Operación, controles, excepciones y práctica de CORE y Organización</t>
  </si>
  <si>
    <t>CAP-04</t>
  </si>
  <si>
    <t>Contabilidad y cierres</t>
  </si>
  <si>
    <t>Contadores</t>
  </si>
  <si>
    <t>Operación, controles, excepciones y práctica de Contabilidad y cierres</t>
  </si>
  <si>
    <t>CAP-05</t>
  </si>
  <si>
    <t>Saldos iniciales</t>
  </si>
  <si>
    <t>Migración / Contabilidad</t>
  </si>
  <si>
    <t>Operación, controles, excepciones y práctica de Saldos iniciales</t>
  </si>
  <si>
    <t>CAP-06</t>
  </si>
  <si>
    <t>Ventas y CxC</t>
  </si>
  <si>
    <t>Operación, controles, excepciones y práctica de Ventas y CxC</t>
  </si>
  <si>
    <t>CAP-07</t>
  </si>
  <si>
    <t>Compras y CxP</t>
  </si>
  <si>
    <t>Operación, controles, excepciones y práctica de Compras y CxP</t>
  </si>
  <si>
    <t>CAP-08</t>
  </si>
  <si>
    <t>Solicitantes / Tesorería</t>
  </si>
  <si>
    <t>Operación, controles, excepciones y práctica de Solicitudes de pago</t>
  </si>
  <si>
    <t>CAP-09</t>
  </si>
  <si>
    <t>Aprobaciones</t>
  </si>
  <si>
    <t>Aprobadores</t>
  </si>
  <si>
    <t>Operación, controles, excepciones y práctica de Aprobaciones</t>
  </si>
  <si>
    <t>CAP-10</t>
  </si>
  <si>
    <t>Operación, controles, excepciones y práctica de Bancos y conciliación</t>
  </si>
  <si>
    <t>CAP-11</t>
  </si>
  <si>
    <t>Tesorería y pagos</t>
  </si>
  <si>
    <t>Operación, controles, excepciones y práctica de Tesorería y pagos</t>
  </si>
  <si>
    <t>CAP-12</t>
  </si>
  <si>
    <t>Responsable de activos</t>
  </si>
  <si>
    <t>Operación, controles, excepciones y práctica de Activos Fijos</t>
  </si>
  <si>
    <t>CAP-13</t>
  </si>
  <si>
    <t>Operaciones</t>
  </si>
  <si>
    <t>Operación, controles, excepciones y práctica de Inventario</t>
  </si>
  <si>
    <t>CAP-14</t>
  </si>
  <si>
    <t>Operación, controles, excepciones y práctica de Fiscal</t>
  </si>
  <si>
    <t>CAP-15</t>
  </si>
  <si>
    <t>Operación, controles, excepciones y práctica de Consolidación</t>
  </si>
  <si>
    <t>CAP-16</t>
  </si>
  <si>
    <t>Reportes</t>
  </si>
  <si>
    <t>Gerencia / Finanzas</t>
  </si>
  <si>
    <t>Operación, controles, excepciones y práctica de Reportes</t>
  </si>
  <si>
    <t>CAP-17</t>
  </si>
  <si>
    <t>Auditoría / Calidad</t>
  </si>
  <si>
    <t>Operación, controles, excepciones y práctica de Auditoría</t>
  </si>
  <si>
    <t>CAP-18</t>
  </si>
  <si>
    <t>Operación, controles, excepciones y práctica de Documentos</t>
  </si>
  <si>
    <t>CAP-19</t>
  </si>
  <si>
    <t>Soporte</t>
  </si>
  <si>
    <t>Mesa de ayuda</t>
  </si>
  <si>
    <t>Operación, controles, excepciones y práctica de Soporte</t>
  </si>
  <si>
    <t>MATRIZ RACI</t>
  </si>
  <si>
    <t>R Responsable · A Aprobador · C Consultado · I Informado.</t>
  </si>
  <si>
    <t>Patrocinador</t>
  </si>
  <si>
    <t>Director proyecto</t>
  </si>
  <si>
    <t>Compras/CxP</t>
  </si>
  <si>
    <t>Ventas/CxC</t>
  </si>
  <si>
    <t>TI/Seguridad</t>
  </si>
  <si>
    <t>Usuario clave</t>
  </si>
  <si>
    <t>Gobierno y alcance</t>
  </si>
  <si>
    <t>A</t>
  </si>
  <si>
    <t>R</t>
  </si>
  <si>
    <t>C</t>
  </si>
  <si>
    <t>Infraestructura</t>
  </si>
  <si>
    <t>CORE y secuencias</t>
  </si>
  <si>
    <t>Organización y dimensiones</t>
  </si>
  <si>
    <t>Clientes y CxC</t>
  </si>
  <si>
    <t>Proveedores y CxP</t>
  </si>
  <si>
    <t>Ventas</t>
  </si>
  <si>
    <t>Compras</t>
  </si>
  <si>
    <t>Workflow</t>
  </si>
  <si>
    <t>Migración maestros</t>
  </si>
  <si>
    <t>Migración saldos</t>
  </si>
  <si>
    <t>Hypercare</t>
  </si>
  <si>
    <t>RIESGOS, INCIDENCIAS Y DECISIONES</t>
  </si>
  <si>
    <t>Puntaje 15 o superior requiere revisión del comité.</t>
  </si>
  <si>
    <t>Tipo</t>
  </si>
  <si>
    <t>Descripción</t>
  </si>
  <si>
    <t>Causa</t>
  </si>
  <si>
    <t>Impacto</t>
  </si>
  <si>
    <t>Prob.</t>
  </si>
  <si>
    <t>Estrategia</t>
  </si>
  <si>
    <t>Mitigación</t>
  </si>
  <si>
    <t>Puntaje</t>
  </si>
  <si>
    <t>Compromiso</t>
  </si>
  <si>
    <t>Cierre</t>
  </si>
  <si>
    <t>R-01</t>
  </si>
  <si>
    <t>Riesgo</t>
  </si>
  <si>
    <t>Datos fuente incompletos</t>
  </si>
  <si>
    <t>Por analizar</t>
  </si>
  <si>
    <t>Impacto en cronograma, control o salida</t>
  </si>
  <si>
    <t>Mitigar</t>
  </si>
  <si>
    <t>Definir acción preventiva, responsable y fecha</t>
  </si>
  <si>
    <t>Dueño de proceso</t>
  </si>
  <si>
    <t>Abierto</t>
  </si>
  <si>
    <t>R-02</t>
  </si>
  <si>
    <t>Plan de cuentas tardío</t>
  </si>
  <si>
    <t>R-03</t>
  </si>
  <si>
    <t>Mayor no concilia con auxiliares</t>
  </si>
  <si>
    <t>R-04</t>
  </si>
  <si>
    <t>Usuarios no disponibles para UAT</t>
  </si>
  <si>
    <t>Pruebas</t>
  </si>
  <si>
    <t>R-05</t>
  </si>
  <si>
    <t>Permisos excesivos</t>
  </si>
  <si>
    <t>R-06</t>
  </si>
  <si>
    <t>Tasas o impuestos incorrectos</t>
  </si>
  <si>
    <t>R-07</t>
  </si>
  <si>
    <t>Consecutivos incorrectos</t>
  </si>
  <si>
    <t>R-08</t>
  </si>
  <si>
    <t>SMTP o URLs incompletas</t>
  </si>
  <si>
    <t>R-09</t>
  </si>
  <si>
    <t>Timeouts por volumen</t>
  </si>
  <si>
    <t>R-10</t>
  </si>
  <si>
    <t>Dimensiones mal asociadas</t>
  </si>
  <si>
    <t>R-11</t>
  </si>
  <si>
    <t>Aprobadores inactivos</t>
  </si>
  <si>
    <t>R-12</t>
  </si>
  <si>
    <t>Saldos intercompany distintos</t>
  </si>
  <si>
    <t>R-13</t>
  </si>
  <si>
    <t>Usuarios no capacitados</t>
  </si>
  <si>
    <t>R-14</t>
  </si>
  <si>
    <t>Cambios sin control</t>
  </si>
  <si>
    <t>R-15</t>
  </si>
  <si>
    <t>Defectos críticos abiertos</t>
  </si>
  <si>
    <t>R-16</t>
  </si>
  <si>
    <t>Carga final excede ventana</t>
  </si>
  <si>
    <t>R-17</t>
  </si>
  <si>
    <t>Respaldos no restaurables</t>
  </si>
  <si>
    <t>CUTOVER Y GO-LIVE</t>
  </si>
  <si>
    <t>Secuencia con validación, reversión y decisión Go/No-Go.</t>
  </si>
  <si>
    <t>Momento</t>
  </si>
  <si>
    <t>Validación</t>
  </si>
  <si>
    <t>Rollback</t>
  </si>
  <si>
    <t>CUT-01</t>
  </si>
  <si>
    <t>T-30</t>
  </si>
  <si>
    <t>Control</t>
  </si>
  <si>
    <t>Confirmar alcance y congelamiento</t>
  </si>
  <si>
    <t>Ejecutar confirmar alcance y congelamiento, registrar resultado y evidencia.</t>
  </si>
  <si>
    <t>Aplicar rollback aprobado</t>
  </si>
  <si>
    <t>CUT-02</t>
  </si>
  <si>
    <t>T-29</t>
  </si>
  <si>
    <t>Aprobar fuentes y plantillas</t>
  </si>
  <si>
    <t>Ejecutar aprobar fuentes y plantillas, registrar resultado y evidencia.</t>
  </si>
  <si>
    <t>CUT-03</t>
  </si>
  <si>
    <t>T-28</t>
  </si>
  <si>
    <t>Probar restauración y rollback</t>
  </si>
  <si>
    <t>Ejecutar probar restauración y rollback, registrar resultado y evidencia.</t>
  </si>
  <si>
    <t>CUT-04</t>
  </si>
  <si>
    <t>T-27</t>
  </si>
  <si>
    <t>Cerrar defectos críticos</t>
  </si>
  <si>
    <t>Ejecutar cerrar defectos críticos, registrar resultado y evidencia.</t>
  </si>
  <si>
    <t>CUT-05</t>
  </si>
  <si>
    <t>T-26</t>
  </si>
  <si>
    <t>Completar capacitaciones</t>
  </si>
  <si>
    <t>Ejecutar completar capacitaciones, registrar resultado y evidencia.</t>
  </si>
  <si>
    <t>CUT-06</t>
  </si>
  <si>
    <t>T-25</t>
  </si>
  <si>
    <t>Ejecutar ensayo general</t>
  </si>
  <si>
    <t>Ejecutar ejecutar ensayo general, registrar resultado y evidencia.</t>
  </si>
  <si>
    <t>CUT-07</t>
  </si>
  <si>
    <t>T-24</t>
  </si>
  <si>
    <t>Conciliar ensayo</t>
  </si>
  <si>
    <t>Ejecutar conciliar ensayo, registrar resultado y evidencia.</t>
  </si>
  <si>
    <t>CUT-08</t>
  </si>
  <si>
    <t>T-23</t>
  </si>
  <si>
    <t>Aprobar accesos productivos</t>
  </si>
  <si>
    <t>Ejecutar aprobar accesos productivos, registrar resultado y evidencia.</t>
  </si>
  <si>
    <t>CUT-09</t>
  </si>
  <si>
    <t>T-22</t>
  </si>
  <si>
    <t>Validar dominio SMTP y monitoreo</t>
  </si>
  <si>
    <t>Ejecutar validar dominio smtp y monitoreo, registrar resultado y evidencia.</t>
  </si>
  <si>
    <t>CUT-10</t>
  </si>
  <si>
    <t>T-21</t>
  </si>
  <si>
    <t>Aprobar PDF y reportes</t>
  </si>
  <si>
    <t>Ejecutar aprobar pdf y reportes, registrar resultado y evidencia.</t>
  </si>
  <si>
    <t>CUT-11</t>
  </si>
  <si>
    <t>T-20</t>
  </si>
  <si>
    <t>Comité preliminar Go/No-Go</t>
  </si>
  <si>
    <t>Ejecutar comité preliminar go/no-go, registrar resultado y evidencia.</t>
  </si>
  <si>
    <t>CUT-12</t>
  </si>
  <si>
    <t>T-19</t>
  </si>
  <si>
    <t>Comunicar congelamiento</t>
  </si>
  <si>
    <t>Ejecutar comunicar congelamiento, registrar resultado y evidencia.</t>
  </si>
  <si>
    <t>CUT-13</t>
  </si>
  <si>
    <t>T-18</t>
  </si>
  <si>
    <t>Respaldar producción</t>
  </si>
  <si>
    <t>Ejecutar respaldar producción, registrar resultado y evidencia.</t>
  </si>
  <si>
    <t>CUT-14</t>
  </si>
  <si>
    <t>T-17</t>
  </si>
  <si>
    <t>Extraer maestros finales</t>
  </si>
  <si>
    <t>Ejecutar extraer maestros finales, registrar resultado y evidencia.</t>
  </si>
  <si>
    <t>CUT-15</t>
  </si>
  <si>
    <t>T-16</t>
  </si>
  <si>
    <t>Depurar archivos finales</t>
  </si>
  <si>
    <t>Ejecutar depurar archivos finales, registrar resultado y evidencia.</t>
  </si>
  <si>
    <t>CUT-16</t>
  </si>
  <si>
    <t>T-15</t>
  </si>
  <si>
    <t>Cerrar sistema anterior</t>
  </si>
  <si>
    <t>Ejecutar cerrar sistema anterior, registrar resultado y evidencia.</t>
  </si>
  <si>
    <t>CUT-17</t>
  </si>
  <si>
    <t>T-14</t>
  </si>
  <si>
    <t>Extraer saldos finales</t>
  </si>
  <si>
    <t>Ejecutar extraer saldos finales, registrar resultado y evidencia.</t>
  </si>
  <si>
    <t>CUT-18</t>
  </si>
  <si>
    <t>T-13</t>
  </si>
  <si>
    <t>Verificar soporte</t>
  </si>
  <si>
    <t>Ejecutar verificar soporte, registrar resultado y evidencia.</t>
  </si>
  <si>
    <t>CUT-19</t>
  </si>
  <si>
    <t>T-0</t>
  </si>
  <si>
    <t>Iniciar ventana</t>
  </si>
  <si>
    <t>Ejecutar iniciar ventana, registrar resultado y evidencia.</t>
  </si>
  <si>
    <t>CUT-20</t>
  </si>
  <si>
    <t>Cargar maestros</t>
  </si>
  <si>
    <t>Ejecutar cargar maestros, registrar resultado y evidencia.</t>
  </si>
  <si>
    <t>CUT-21</t>
  </si>
  <si>
    <t>Cargar Libro Mayor</t>
  </si>
  <si>
    <t>Ejecutar cargar libro mayor, registrar resultado y evidencia.</t>
  </si>
  <si>
    <t>CUT-22</t>
  </si>
  <si>
    <t>Cargar CxC y CxP</t>
  </si>
  <si>
    <t>Ejecutar cargar cxc y cxp, registrar resultado y evidencia.</t>
  </si>
  <si>
    <t>CUT-23</t>
  </si>
  <si>
    <t>Cargar activos pendientes y bancos</t>
  </si>
  <si>
    <t>Ejecutar cargar activos pendientes y bancos, registrar resultado y evidencia.</t>
  </si>
  <si>
    <t>CUT-24</t>
  </si>
  <si>
    <t>Cuadrar débitos y créditos</t>
  </si>
  <si>
    <t>Ejecutar cuadrar débitos y créditos, registrar resultado y evidencia.</t>
  </si>
  <si>
    <t>CUT-25</t>
  </si>
  <si>
    <t>Conciliar auxiliares</t>
  </si>
  <si>
    <t>Ejecutar conciliar auxiliares, registrar resultado y evidencia.</t>
  </si>
  <si>
    <t>CUT-26</t>
  </si>
  <si>
    <t>T+1</t>
  </si>
  <si>
    <t>Pruebas de humo</t>
  </si>
  <si>
    <t>Ejecutar pruebas de humo, registrar resultado y evidencia.</t>
  </si>
  <si>
    <t>CUT-27</t>
  </si>
  <si>
    <t>T+2</t>
  </si>
  <si>
    <t>Validar roles y filiales</t>
  </si>
  <si>
    <t>Ejecutar validar roles y filiales, registrar resultado y evidencia.</t>
  </si>
  <si>
    <t>CUT-28</t>
  </si>
  <si>
    <t>T+3</t>
  </si>
  <si>
    <t>Validar factura cobro compra pago</t>
  </si>
  <si>
    <t>Ejecutar validar factura cobro compra pago, registrar resultado y evidencia.</t>
  </si>
  <si>
    <t>CUT-29</t>
  </si>
  <si>
    <t>T+4</t>
  </si>
  <si>
    <t>Validar conciliación bancaria</t>
  </si>
  <si>
    <t>Ejecutar validar conciliación bancaria, registrar resultado y evidencia.</t>
  </si>
  <si>
    <t>CUT-30</t>
  </si>
  <si>
    <t>T+5</t>
  </si>
  <si>
    <t>Validar reportes críticos</t>
  </si>
  <si>
    <t>Ejecutar validar reportes críticos, registrar resultado y evidencia.</t>
  </si>
  <si>
    <t>CUT-31</t>
  </si>
  <si>
    <t>T+6</t>
  </si>
  <si>
    <t>Comité definitivo Go/No-Go</t>
  </si>
  <si>
    <t>Ejecutar comité definitivo go/no-go, registrar resultado y evidencia.</t>
  </si>
  <si>
    <t>CUT-32</t>
  </si>
  <si>
    <t>T+7</t>
  </si>
  <si>
    <t>Comunicar salida</t>
  </si>
  <si>
    <t>Ejecutar comunicar salida, registrar resultado y evidencia.</t>
  </si>
  <si>
    <t>CUT-33</t>
  </si>
  <si>
    <t>T+8</t>
  </si>
  <si>
    <t>Abrir operación</t>
  </si>
  <si>
    <t>Ejecutar abrir operación, registrar resultado y evidencia.</t>
  </si>
  <si>
    <t>CUT-34</t>
  </si>
  <si>
    <t>T+9</t>
  </si>
  <si>
    <t>Activar Hypercare</t>
  </si>
  <si>
    <t>Ejecutar activar hypercare, registrar resultado y evidencia.</t>
  </si>
  <si>
    <t>CUT-35</t>
  </si>
  <si>
    <t>T+10</t>
  </si>
  <si>
    <t>Revisar primeras transacciones</t>
  </si>
  <si>
    <t>Ejecutar revisar primeras transacciones, registrar resultado y evidencia.</t>
  </si>
  <si>
    <t>CUT-36</t>
  </si>
  <si>
    <t>T+11</t>
  </si>
  <si>
    <t>Primera conciliación</t>
  </si>
  <si>
    <t>Ejecutar primera conciliación, registrar resultado y evidencia.</t>
  </si>
  <si>
    <t>CUT-37</t>
  </si>
  <si>
    <t>T+12</t>
  </si>
  <si>
    <t>Cerrar Hypercare</t>
  </si>
  <si>
    <t>Ejecutar cerrar hypercare, registrar resultado y evidencia.</t>
  </si>
  <si>
    <t>ESTABILIZACIÓN E HYPERCARE</t>
  </si>
  <si>
    <t>Incidencias, SLA, causa raíz y prevención post salida.</t>
  </si>
  <si>
    <t>Criticidad</t>
  </si>
  <si>
    <t>Reporte</t>
  </si>
  <si>
    <t>SLA h</t>
  </si>
  <si>
    <t>Objetivo</t>
  </si>
  <si>
    <t>Solución</t>
  </si>
  <si>
    <t>Causa raíz</t>
  </si>
  <si>
    <t>Prevención</t>
  </si>
  <si>
    <t>Cumplió SLA</t>
  </si>
  <si>
    <t>EST-01</t>
  </si>
  <si>
    <t>Control preventivo</t>
  </si>
  <si>
    <t>Operación / Plataforma</t>
  </si>
  <si>
    <t>Monitorear accesos</t>
  </si>
  <si>
    <t>EST-02</t>
  </si>
  <si>
    <t>Revisar facturas de venta</t>
  </si>
  <si>
    <t>EST-03</t>
  </si>
  <si>
    <t>Revisar facturas de proveedor</t>
  </si>
  <si>
    <t>EST-04</t>
  </si>
  <si>
    <t>Validar cobros y pagos</t>
  </si>
  <si>
    <t>EST-05</t>
  </si>
  <si>
    <t>Validar asientos automáticos</t>
  </si>
  <si>
    <t>EST-06</t>
  </si>
  <si>
    <t>Conciliar bancos</t>
  </si>
  <si>
    <t>EST-07</t>
  </si>
  <si>
    <t>Revisar estados financieros</t>
  </si>
  <si>
    <t>EST-08</t>
  </si>
  <si>
    <t>Revisar aprobaciones</t>
  </si>
  <si>
    <t>EST-09</t>
  </si>
  <si>
    <t>Monitorear rendimiento</t>
  </si>
  <si>
    <t>EST-10</t>
  </si>
  <si>
    <t>Conciliar primera semana</t>
  </si>
  <si>
    <t>EST-11</t>
  </si>
  <si>
    <t>Revisar backlog</t>
  </si>
  <si>
    <t>EST-12</t>
  </si>
  <si>
    <t>Transferir a soporte</t>
  </si>
  <si>
    <t>EST-13</t>
  </si>
  <si>
    <t>EST-14</t>
  </si>
  <si>
    <t>EST-15</t>
  </si>
  <si>
    <t>EST-16</t>
  </si>
  <si>
    <t>EST-17</t>
  </si>
  <si>
    <t>EST-18</t>
  </si>
  <si>
    <t>EST-19</t>
  </si>
  <si>
    <t>EST-20</t>
  </si>
  <si>
    <t>EST-21</t>
  </si>
  <si>
    <t>EST-22</t>
  </si>
  <si>
    <t>EST-23</t>
  </si>
  <si>
    <t>EST-24</t>
  </si>
  <si>
    <t>EST-25</t>
  </si>
  <si>
    <t>EST-26</t>
  </si>
  <si>
    <t>EST-27</t>
  </si>
  <si>
    <t>EST-28</t>
  </si>
  <si>
    <t>EST-29</t>
  </si>
  <si>
    <t>EST-30</t>
  </si>
  <si>
    <t>EST-31</t>
  </si>
  <si>
    <t>EST-32</t>
  </si>
  <si>
    <t>EST-33</t>
  </si>
  <si>
    <t>EST-34</t>
  </si>
  <si>
    <t>EST-35</t>
  </si>
  <si>
    <t>EST-36</t>
  </si>
  <si>
    <t>EST-37</t>
  </si>
  <si>
    <t>EST-38</t>
  </si>
  <si>
    <t>EST-39</t>
  </si>
  <si>
    <t>EST-40</t>
  </si>
  <si>
    <t>Estados</t>
  </si>
  <si>
    <t>Sí/No</t>
  </si>
  <si>
    <t>RACI</t>
  </si>
  <si>
    <t>Estado riesgo</t>
  </si>
  <si>
    <t>Etapa filial</t>
  </si>
  <si>
    <t>Módulos</t>
  </si>
  <si>
    <t>Sí</t>
  </si>
  <si>
    <t>Virtual</t>
  </si>
  <si>
    <t>En curso</t>
  </si>
  <si>
    <t>No</t>
  </si>
  <si>
    <t>Aprobado</t>
  </si>
  <si>
    <t>En seguimiento</t>
  </si>
  <si>
    <t>Evitar</t>
  </si>
  <si>
    <t>Presencial</t>
  </si>
  <si>
    <t>En validación</t>
  </si>
  <si>
    <t>Fallido</t>
  </si>
  <si>
    <t>Cerrado</t>
  </si>
  <si>
    <t>Transferir</t>
  </si>
  <si>
    <t>Bloqueada</t>
  </si>
  <si>
    <t>Baja</t>
  </si>
  <si>
    <t>Bloqueado</t>
  </si>
  <si>
    <t>I</t>
  </si>
  <si>
    <t>Aceptado</t>
  </si>
  <si>
    <t>Aceptar</t>
  </si>
  <si>
    <t>Completada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</si>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</sst>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/yyyy hh:mm"/>
  </numFmts>
  <fonts count="12" x14ac:knownFonts="1">
    <font>
      <color theme="1"/>
      <family val="2"/>
      <scheme val="minor"/>
      <sz val="11"/>
      <name val="Calibri"/>
    </font>
    <font>
      <b/>
      <color rgb="FFFFFFFF"/>
      <sz val="32"/>
      <name val="Arial"/>
    </font>
    <font>
      <b/>
      <color rgb="FF082F6B"/>
      <sz val="20"/>
      <name val="Arial"/>
    </font>
    <font>
      <i/>
      <color rgb="FF64748B"/>
    </font>
    <font>
      <b/>
      <color rgb="FF082F6B"/>
    </font>
    <font>
      <b/>
      <color rgb="FFFFFFFF"/>
    </font>
    <font>
      <b/>
      <color rgb="FFFFFFFF"/>
      <sz val="20"/>
      <name val="Arial"/>
    </font>
    <font>
      <color rgb="FFFFFFFF"/>
      <sz val="10"/>
      <name val="Arial"/>
    </font>
    <font>
      <b/>
      <color rgb="FF078464"/>
      <sz val="20"/>
    </font>
    <font>
      <b/>
      <color rgb="FFB42318"/>
      <sz val="20"/>
    </font>
    <font>
      <b/>
      <color rgb="FFFFFFFF"/>
      <sz val="9"/>
      <name val="Arial"/>
    </font>
    <font>
      <color rgb="FF172033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082F6B"/>
      </patternFill>
    </fill>
    <fill>
      <patternFill patternType="solid">
        <fgColor rgb="FFEAF2FB"/>
      </patternFill>
    </fill>
    <fill>
      <patternFill patternType="solid">
        <fgColor rgb="FF078464"/>
      </patternFill>
    </fill>
    <fill>
      <patternFill patternType="solid">
        <fgColor rgb="FF0B4F96"/>
      </patternFill>
    </fill>
    <fill>
      <patternFill patternType="solid">
        <fgColor rgb="FFFAFCFE"/>
      </patternFill>
    </fill>
  </fills>
  <borders count="2">
    <border>
      <left/>
      <right/>
      <top/>
      <bottom/>
      <diagonal/>
    </border>
    <border>
      <left style="thin">
        <color rgb="FFD7E1EC"/>
      </left>
      <right style="thin">
        <color rgb="FFD7E1EC"/>
      </right>
      <top style="thin">
        <color rgb="FFD7E1EC"/>
      </top>
      <bottom style="thin">
        <color rgb="FFD7E1E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5" fillId="4" borderId="0" xfId="0" applyFont="1" applyFill="1"/>
    <xf numFmtId="0" fontId="6" fillId="2" borderId="0" xfId="0" applyFont="1" applyFill="1" applyAlignment="1">
      <alignment vertical="center"/>
    </xf>
    <xf numFmtId="0" fontId="7" fillId="5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9" fontId="0" fillId="0" borderId="1" xfId="0" applyNumberFormat="1" applyBorder="1"/>
    <xf numFmtId="0" fontId="11" fillId="6" borderId="1" xfId="0" applyFont="1" applyFill="1" applyBorder="1" applyAlignment="1">
      <alignment vertical="top" wrapText="1"/>
    </xf>
    <xf numFmtId="164" fontId="11" fillId="6" borderId="1" xfId="0" applyNumberFormat="1" applyFont="1" applyFill="1" applyBorder="1" applyAlignment="1">
      <alignment vertical="top" wrapText="1"/>
    </xf>
    <xf numFmtId="9" fontId="11" fillId="6" borderId="1" xfId="0" applyNumberFormat="1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164" fontId="11" fillId="0" borderId="1" xfId="0" applyNumberFormat="1" applyFont="1" applyBorder="1" applyAlignment="1">
      <alignment vertical="top" wrapText="1"/>
    </xf>
    <xf numFmtId="9" fontId="11" fillId="0" borderId="1" xfId="0" applyNumberFormat="1" applyFont="1" applyBorder="1" applyAlignment="1">
      <alignment vertical="top" wrapText="1"/>
    </xf>
    <xf numFmtId="165" fontId="11" fillId="6" borderId="1" xfId="0" applyNumberFormat="1" applyFont="1" applyFill="1" applyBorder="1" applyAlignment="1">
      <alignment vertical="top" wrapText="1"/>
    </xf>
    <xf numFmtId="165" fontId="11" fillId="0" borderId="1" xfId="0" applyNumberFormat="1" applyFont="1" applyBorder="1" applyAlignment="1">
      <alignment vertical="top" wrapText="1"/>
    </xf>
    <xf numFmtId="14" fontId="11" fillId="6" borderId="1" xfId="0" applyNumberFormat="1" applyFont="1" applyFill="1" applyBorder="1" applyAlignment="1">
      <alignment vertical="top" wrapText="1"/>
    </xf>
    <xf numFmtId="14" fontId="1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087A57"/>
      </font>
      <fill>
        <patternFill patternType="solid">
          <fgColor rgb="FFD9F2E6"/>
        </patternFill>
      </fill>
    </dxf>
    <dxf>
      <font>
        <b/>
        <color rgb="FF8A5A00"/>
      </font>
      <fill>
        <patternFill patternType="solid">
          <fgColor rgb="FFFFF1B8"/>
        </patternFill>
      </fill>
    </dxf>
    <dxf>
      <font>
        <b/>
        <color rgb="FFB42318"/>
      </font>
      <fill>
        <patternFill patternType="solid">
          <fgColor rgb="FFFBD5D2"/>
        </patternFill>
      </fill>
    </dxf>
    <dxf>
      <font>
        <b/>
        <color rgb="FFB42318"/>
      </font>
      <fill>
        <patternFill patternType="solid">
          <fgColor rgb="FFFBD5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2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3" width="34" customWidth="1"/>
    <col min="4" max="5" width="25" customWidth="1"/>
    <col min="6" max="6" width="3" customWidth="1"/>
  </cols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4" spans="2:5" x14ac:dyDescent="0.25">
      <c r="B4" s="1"/>
      <c r="C4" s="1"/>
      <c r="D4" s="1"/>
      <c r="E4" s="1"/>
    </row>
    <row r="5" spans="2:5" x14ac:dyDescent="0.25">
      <c r="B5" s="2" t="s">
        <v>1</v>
      </c>
      <c r="C5" s="2"/>
      <c r="D5" s="2"/>
      <c r="E5" s="2"/>
    </row>
    <row r="6" spans="2:5" x14ac:dyDescent="0.25">
      <c r="B6" s="2"/>
      <c r="C6" s="2"/>
      <c r="D6" s="2"/>
      <c r="E6" s="2"/>
    </row>
    <row r="7" spans="2:5" x14ac:dyDescent="0.25">
      <c r="B7" s="3" t="s">
        <v>2</v>
      </c>
      <c r="C7" s="3"/>
      <c r="D7" s="3"/>
      <c r="E7" s="3"/>
    </row>
    <row r="9" spans="2:5" x14ac:dyDescent="0.25">
      <c r="B9" s="4" t="s">
        <v>3</v>
      </c>
      <c r="C9" s="5" t="s">
        <v>4</v>
      </c>
      <c r="D9" s="5"/>
      <c r="E9" s="5"/>
    </row>
    <row r="10" spans="2:5" x14ac:dyDescent="0.25">
      <c r="B10" s="4" t="s">
        <v>5</v>
      </c>
      <c r="C10" s="5" t="s">
        <v>6</v>
      </c>
      <c r="D10" s="5"/>
      <c r="E10" s="5"/>
    </row>
    <row r="11" spans="2:5" x14ac:dyDescent="0.25">
      <c r="B11" s="4" t="s">
        <v>7</v>
      </c>
      <c r="C11" s="6">
        <v>46323.75</v>
      </c>
      <c r="D11" s="6"/>
      <c r="E11" s="6"/>
    </row>
    <row r="12" spans="2:5" x14ac:dyDescent="0.25">
      <c r="B12" s="4" t="s">
        <v>8</v>
      </c>
      <c r="C12" s="6">
        <v>46328.75</v>
      </c>
      <c r="D12" s="6"/>
      <c r="E12" s="6"/>
    </row>
    <row r="13" spans="2:5" x14ac:dyDescent="0.25">
      <c r="B13" s="4" t="s">
        <v>9</v>
      </c>
      <c r="C13" s="6">
        <v>46496.75</v>
      </c>
      <c r="D13" s="6"/>
      <c r="E13" s="6"/>
    </row>
    <row r="14" spans="2:5" x14ac:dyDescent="0.25">
      <c r="B14" s="4" t="s">
        <v>10</v>
      </c>
      <c r="C14" s="5" t="s">
        <v>11</v>
      </c>
      <c r="D14" s="5"/>
      <c r="E14" s="5"/>
    </row>
    <row r="15" spans="2:5" x14ac:dyDescent="0.25">
      <c r="B15" s="4" t="s">
        <v>12</v>
      </c>
      <c r="C15" s="5" t="s">
        <v>13</v>
      </c>
      <c r="D15" s="5"/>
      <c r="E15" s="5"/>
    </row>
    <row r="16" spans="2:5" x14ac:dyDescent="0.25">
      <c r="B16" s="4" t="s">
        <v>14</v>
      </c>
      <c r="C16" s="5">
        <v>35</v>
      </c>
      <c r="D16" s="5"/>
      <c r="E16" s="5"/>
    </row>
    <row r="17" spans="2:5" x14ac:dyDescent="0.25">
      <c r="B17" s="4" t="s">
        <v>15</v>
      </c>
      <c r="C17" s="5">
        <v>280</v>
      </c>
      <c r="D17" s="5"/>
      <c r="E17" s="5"/>
    </row>
    <row r="18" spans="2:5" x14ac:dyDescent="0.25">
      <c r="B18" s="4" t="s">
        <v>16</v>
      </c>
      <c r="C18" s="5" t="s">
        <v>17</v>
      </c>
      <c r="D18" s="5"/>
      <c r="E18" s="5"/>
    </row>
    <row r="21" spans="2:5" x14ac:dyDescent="0.25">
      <c r="B21" s="7" t="s">
        <v>18</v>
      </c>
      <c r="C21" s="7"/>
      <c r="D21" s="7"/>
      <c r="E21" s="7"/>
    </row>
    <row r="22" ht="28" customHeight="1" spans="2:5" x14ac:dyDescent="0.25">
      <c r="B22" s="5" t="s">
        <v>19</v>
      </c>
      <c r="C22" s="5"/>
      <c r="D22" s="5"/>
      <c r="E22" s="5"/>
    </row>
    <row r="23" ht="28" customHeight="1" spans="2:5" x14ac:dyDescent="0.25">
      <c r="B23" s="5" t="s">
        <v>20</v>
      </c>
      <c r="C23" s="5"/>
      <c r="D23" s="5"/>
      <c r="E23" s="5"/>
    </row>
    <row r="24" ht="28" customHeight="1" spans="2:5" x14ac:dyDescent="0.25">
      <c r="B24" s="5" t="s">
        <v>21</v>
      </c>
      <c r="C24" s="5"/>
      <c r="D24" s="5"/>
      <c r="E24" s="5"/>
    </row>
    <row r="25" ht="28" customHeight="1" spans="2:5" x14ac:dyDescent="0.25">
      <c r="B25" s="5" t="s">
        <v>22</v>
      </c>
      <c r="C25" s="5"/>
      <c r="D25" s="5"/>
      <c r="E25" s="5"/>
    </row>
    <row r="26" ht="28" customHeight="1" spans="2:5" x14ac:dyDescent="0.25">
      <c r="B26" s="5" t="s">
        <v>23</v>
      </c>
      <c r="C26" s="5"/>
      <c r="D26" s="5"/>
      <c r="E26" s="5"/>
    </row>
  </sheetData>
  <mergeCells count="19">
    <mergeCell ref="B2:E4"/>
    <mergeCell ref="B5:E6"/>
    <mergeCell ref="B7:E7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B21:E21"/>
    <mergeCell ref="B22:E22"/>
    <mergeCell ref="B23:E23"/>
    <mergeCell ref="B24:E24"/>
    <mergeCell ref="B25:E25"/>
    <mergeCell ref="B26:E26"/>
  </mergeCells>
  <pageSetup paperSize="9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16" customWidth="1"/>
    <col min="5" max="5" width="3" customWidth="1"/>
    <col min="6" max="6" width="24" customWidth="1"/>
    <col min="7" max="10" width="16" customWidth="1"/>
  </cols>
  <sheetData>
    <row r="1" ht="34" customHeight="1" spans="1:10" x14ac:dyDescent="0.25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</row>
    <row r="2" ht="26" customHeight="1" spans="1:10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</row>
    <row r="5" spans="1:8" x14ac:dyDescent="0.25">
      <c r="A5" s="10" t="s">
        <v>26</v>
      </c>
      <c r="B5" s="10"/>
      <c r="C5" s="10" t="s">
        <v>27</v>
      </c>
      <c r="D5" s="10"/>
      <c r="E5" s="10" t="s">
        <v>28</v>
      </c>
      <c r="F5" s="10"/>
      <c r="G5" s="10" t="s">
        <v>29</v>
      </c>
      <c r="H5" s="10"/>
    </row>
    <row r="6" spans="1:8" x14ac:dyDescent="0.25">
      <c r="A6" s="11">
        <f>COUNTA('02_Plan_Maestro'!$A$6:$A$285)</f>
        <v>280</v>
      </c>
      <c r="B6" s="11"/>
      <c r="C6" s="11">
        <f>COUNTIF('02_Plan_Maestro'!$V$6:$V$285,"Completada")</f>
        <v>0</v>
      </c>
      <c r="D6" s="11"/>
      <c r="E6" s="12">
        <f>IFERROR(SUMPRODUCT('02_Plan_Maestro'!$P$6:$P$285,'02_Plan_Maestro'!$W$6:$W$285)/SUM('02_Plan_Maestro'!$P$6:$P$285),0)</f>
        <v>0</v>
      </c>
      <c r="F6" s="12"/>
      <c r="G6" s="13">
        <f>COUNTIFS('02_Plan_Maestro'!$R$6:$R$285,"&lt;"&amp;TODAY(),'02_Plan_Maestro'!$V$6:$V$285,"&lt;&gt;Completada")</f>
        <v>0</v>
      </c>
      <c r="H6" s="13"/>
    </row>
    <row r="7" spans="1:8" x14ac:dyDescent="0.25">
      <c r="A7" s="11"/>
      <c r="B7" s="11"/>
      <c r="C7" s="11"/>
      <c r="D7" s="11"/>
      <c r="E7" s="12"/>
      <c r="F7" s="12"/>
      <c r="G7" s="13"/>
      <c r="H7" s="13"/>
    </row>
    <row r="9" spans="1:8" x14ac:dyDescent="0.25">
      <c r="A9" s="10" t="s">
        <v>30</v>
      </c>
      <c r="B9" s="10"/>
      <c r="C9" s="10" t="s">
        <v>31</v>
      </c>
      <c r="D9" s="10"/>
      <c r="E9" s="10" t="s">
        <v>32</v>
      </c>
      <c r="F9" s="10"/>
      <c r="G9" s="10" t="s">
        <v>33</v>
      </c>
      <c r="H9" s="10"/>
    </row>
    <row r="10" spans="1:8" x14ac:dyDescent="0.25">
      <c r="A10" s="11">
        <f>COUNTIF('02_Plan_Maestro'!$V$6:$V$285,"Bloqueada")</f>
        <v>0</v>
      </c>
      <c r="B10" s="11"/>
      <c r="C10" s="13">
        <f>COUNTIFS('09_Riesgos'!$L$6:$L$40,"&gt;=15",'09_Riesgos'!$N$6:$N$40,"&lt;&gt;Cerrado")</f>
        <v>0</v>
      </c>
      <c r="D10" s="13"/>
      <c r="E10" s="12">
        <f>IFERROR(COUNTIF('06_Pruebas_UAT'!$K$6:$K$300,"Aprobado")/236,0)</f>
        <v>0</v>
      </c>
      <c r="F10" s="12"/>
      <c r="G10" s="12">
        <f>IFERROR(AVERAGE('03_Rollout_Filiales'!$M$6:$M$40),0)</f>
        <v>0</v>
      </c>
      <c r="H10" s="12"/>
    </row>
    <row r="11" spans="1:8" x14ac:dyDescent="0.25">
      <c r="A11" s="11"/>
      <c r="B11" s="11"/>
      <c r="C11" s="13"/>
      <c r="D11" s="13"/>
      <c r="E11" s="12"/>
      <c r="F11" s="12"/>
      <c r="G11" s="12"/>
      <c r="H11" s="12"/>
    </row>
    <row r="14" spans="1:10" x14ac:dyDescent="0.25">
      <c r="A14" s="7" t="s">
        <v>34</v>
      </c>
      <c r="B14" s="7"/>
      <c r="C14" s="7"/>
      <c r="D14" s="7"/>
      <c r="E14" s="7"/>
      <c r="F14" s="7"/>
      <c r="G14" s="7"/>
      <c r="H14" s="7"/>
      <c r="I14" s="7"/>
      <c r="J14" s="7"/>
    </row>
    <row r="15" ht="32" customHeight="1" spans="1:10" x14ac:dyDescent="0.25">
      <c r="A15" s="14" t="s">
        <v>35</v>
      </c>
      <c r="B15" s="14" t="s">
        <v>36</v>
      </c>
      <c r="C15" s="14" t="s">
        <v>27</v>
      </c>
      <c r="D15" s="14" t="s">
        <v>28</v>
      </c>
      <c r="E15" s="14" t="s">
        <v>29</v>
      </c>
      <c r="F15" s="14" t="s">
        <v>37</v>
      </c>
      <c r="G15" s="14" t="s">
        <v>35</v>
      </c>
      <c r="H15" s="14" t="s">
        <v>36</v>
      </c>
      <c r="I15" s="14" t="s">
        <v>27</v>
      </c>
      <c r="J15" s="14" t="s">
        <v>28</v>
      </c>
    </row>
    <row r="16" spans="1:10" x14ac:dyDescent="0.25">
      <c r="A16" s="15" t="s">
        <v>38</v>
      </c>
      <c r="B16" s="15">
        <f>COUNTIF('02_Plan_Maestro'!$C$6:$C$285,A16)</f>
        <v>0</v>
      </c>
      <c r="C16" s="15">
        <f>COUNTIFS('02_Plan_Maestro'!$C$6:$C$285,A16,'02_Plan_Maestro'!$V$6:$V$285,"Completada")</f>
        <v>0</v>
      </c>
      <c r="D16" s="16">
        <f>IFERROR(SUMPRODUCT(('02_Plan_Maestro'!$C$6:$C$285=A16)*'02_Plan_Maestro'!$P$6:$P$285*'02_Plan_Maestro'!$W$6:$W$285)/SUMIF('02_Plan_Maestro'!$C$6:$C$285,A16,'02_Plan_Maestro'!$P$6:$P$285),0)</f>
        <v>0</v>
      </c>
      <c r="E16" s="15">
        <f>COUNTIFS('02_Plan_Maestro'!$C$6:$C$285,A16,'02_Plan_Maestro'!$R$6:$R$285,"&lt;"&amp;TODAY(),'02_Plan_Maestro'!$V$6:$V$285,"&lt;&gt;Completada")</f>
        <v>0</v>
      </c>
      <c r="G16" s="15" t="s">
        <v>39</v>
      </c>
      <c r="H16" s="15">
        <f>COUNTIF('02_Plan_Maestro'!$C$6:$C$285,G16)</f>
        <v>0</v>
      </c>
      <c r="I16" s="15">
        <f>COUNTIFS('02_Plan_Maestro'!$C$6:$C$285,G16,'02_Plan_Maestro'!$V$6:$V$285,"Completada")</f>
        <v>0</v>
      </c>
      <c r="J16" s="16">
        <f>IFERROR(SUMPRODUCT(('02_Plan_Maestro'!$C$6:$C$285=G16)*'02_Plan_Maestro'!$P$6:$P$285*'02_Plan_Maestro'!$W$6:$W$285)/SUMIF('02_Plan_Maestro'!$C$6:$C$285,G16,'02_Plan_Maestro'!$P$6:$P$285),0)</f>
        <v>0</v>
      </c>
    </row>
    <row r="17" spans="1:10" x14ac:dyDescent="0.25">
      <c r="A17" s="15" t="s">
        <v>40</v>
      </c>
      <c r="B17" s="15">
        <f>COUNTIF('02_Plan_Maestro'!$C$6:$C$285,A17)</f>
        <v>0</v>
      </c>
      <c r="C17" s="15">
        <f>COUNTIFS('02_Plan_Maestro'!$C$6:$C$285,A17,'02_Plan_Maestro'!$V$6:$V$285,"Completada")</f>
        <v>0</v>
      </c>
      <c r="D17" s="16">
        <f>IFERROR(SUMPRODUCT(('02_Plan_Maestro'!$C$6:$C$285=A17)*'02_Plan_Maestro'!$P$6:$P$285*'02_Plan_Maestro'!$W$6:$W$285)/SUMIF('02_Plan_Maestro'!$C$6:$C$285,A17,'02_Plan_Maestro'!$P$6:$P$285),0)</f>
        <v>0</v>
      </c>
      <c r="E17" s="15">
        <f>COUNTIFS('02_Plan_Maestro'!$C$6:$C$285,A17,'02_Plan_Maestro'!$R$6:$R$285,"&lt;"&amp;TODAY(),'02_Plan_Maestro'!$V$6:$V$285,"&lt;&gt;Completada")</f>
        <v>0</v>
      </c>
      <c r="G17" s="15" t="s">
        <v>41</v>
      </c>
      <c r="H17" s="15">
        <f>COUNTIF('02_Plan_Maestro'!$C$6:$C$285,G17)</f>
        <v>0</v>
      </c>
      <c r="I17" s="15">
        <f>COUNTIFS('02_Plan_Maestro'!$C$6:$C$285,G17,'02_Plan_Maestro'!$V$6:$V$285,"Completada")</f>
        <v>0</v>
      </c>
      <c r="J17" s="16">
        <f>IFERROR(SUMPRODUCT(('02_Plan_Maestro'!$C$6:$C$285=G17)*'02_Plan_Maestro'!$P$6:$P$285*'02_Plan_Maestro'!$W$6:$W$285)/SUMIF('02_Plan_Maestro'!$C$6:$C$285,G17,'02_Plan_Maestro'!$P$6:$P$285),0)</f>
        <v>0</v>
      </c>
    </row>
    <row r="18" spans="1:10" x14ac:dyDescent="0.25">
      <c r="A18" s="15" t="s">
        <v>42</v>
      </c>
      <c r="B18" s="15">
        <f>COUNTIF('02_Plan_Maestro'!$C$6:$C$285,A18)</f>
        <v>0</v>
      </c>
      <c r="C18" s="15">
        <f>COUNTIFS('02_Plan_Maestro'!$C$6:$C$285,A18,'02_Plan_Maestro'!$V$6:$V$285,"Completada")</f>
        <v>0</v>
      </c>
      <c r="D18" s="16">
        <f>IFERROR(SUMPRODUCT(('02_Plan_Maestro'!$C$6:$C$285=A18)*'02_Plan_Maestro'!$P$6:$P$285*'02_Plan_Maestro'!$W$6:$W$285)/SUMIF('02_Plan_Maestro'!$C$6:$C$285,A18,'02_Plan_Maestro'!$P$6:$P$285),0)</f>
        <v>0</v>
      </c>
      <c r="E18" s="15">
        <f>COUNTIFS('02_Plan_Maestro'!$C$6:$C$285,A18,'02_Plan_Maestro'!$R$6:$R$285,"&lt;"&amp;TODAY(),'02_Plan_Maestro'!$V$6:$V$285,"&lt;&gt;Completada")</f>
        <v>0</v>
      </c>
      <c r="G18" s="15" t="s">
        <v>43</v>
      </c>
      <c r="H18" s="15">
        <f>COUNTIF('02_Plan_Maestro'!$C$6:$C$285,G18)</f>
        <v>0</v>
      </c>
      <c r="I18" s="15">
        <f>COUNTIFS('02_Plan_Maestro'!$C$6:$C$285,G18,'02_Plan_Maestro'!$V$6:$V$285,"Completada")</f>
        <v>0</v>
      </c>
      <c r="J18" s="16">
        <f>IFERROR(SUMPRODUCT(('02_Plan_Maestro'!$C$6:$C$285=G18)*'02_Plan_Maestro'!$P$6:$P$285*'02_Plan_Maestro'!$W$6:$W$285)/SUMIF('02_Plan_Maestro'!$C$6:$C$285,G18,'02_Plan_Maestro'!$P$6:$P$285),0)</f>
        <v>0</v>
      </c>
    </row>
    <row r="19" spans="1:10" x14ac:dyDescent="0.25">
      <c r="A19" s="15" t="s">
        <v>44</v>
      </c>
      <c r="B19" s="15">
        <f>COUNTIF('02_Plan_Maestro'!$C$6:$C$285,A19)</f>
        <v>0</v>
      </c>
      <c r="C19" s="15">
        <f>COUNTIFS('02_Plan_Maestro'!$C$6:$C$285,A19,'02_Plan_Maestro'!$V$6:$V$285,"Completada")</f>
        <v>0</v>
      </c>
      <c r="D19" s="16">
        <f>IFERROR(SUMPRODUCT(('02_Plan_Maestro'!$C$6:$C$285=A19)*'02_Plan_Maestro'!$P$6:$P$285*'02_Plan_Maestro'!$W$6:$W$285)/SUMIF('02_Plan_Maestro'!$C$6:$C$285,A19,'02_Plan_Maestro'!$P$6:$P$285),0)</f>
        <v>0</v>
      </c>
      <c r="E19" s="15">
        <f>COUNTIFS('02_Plan_Maestro'!$C$6:$C$285,A19,'02_Plan_Maestro'!$R$6:$R$285,"&lt;"&amp;TODAY(),'02_Plan_Maestro'!$V$6:$V$285,"&lt;&gt;Completada")</f>
        <v>0</v>
      </c>
      <c r="G19" s="15" t="s">
        <v>45</v>
      </c>
      <c r="H19" s="15">
        <f>COUNTIF('02_Plan_Maestro'!$C$6:$C$285,G19)</f>
        <v>0</v>
      </c>
      <c r="I19" s="15">
        <f>COUNTIFS('02_Plan_Maestro'!$C$6:$C$285,G19,'02_Plan_Maestro'!$V$6:$V$285,"Completada")</f>
        <v>0</v>
      </c>
      <c r="J19" s="16">
        <f>IFERROR(SUMPRODUCT(('02_Plan_Maestro'!$C$6:$C$285=G19)*'02_Plan_Maestro'!$P$6:$P$285*'02_Plan_Maestro'!$W$6:$W$285)/SUMIF('02_Plan_Maestro'!$C$6:$C$285,G19,'02_Plan_Maestro'!$P$6:$P$285),0)</f>
        <v>0</v>
      </c>
    </row>
    <row r="20" spans="1:10" x14ac:dyDescent="0.25">
      <c r="A20" s="15" t="s">
        <v>46</v>
      </c>
      <c r="B20" s="15">
        <f>COUNTIF('02_Plan_Maestro'!$C$6:$C$285,A20)</f>
        <v>0</v>
      </c>
      <c r="C20" s="15">
        <f>COUNTIFS('02_Plan_Maestro'!$C$6:$C$285,A20,'02_Plan_Maestro'!$V$6:$V$285,"Completada")</f>
        <v>0</v>
      </c>
      <c r="D20" s="16">
        <f>IFERROR(SUMPRODUCT(('02_Plan_Maestro'!$C$6:$C$285=A20)*'02_Plan_Maestro'!$P$6:$P$285*'02_Plan_Maestro'!$W$6:$W$285)/SUMIF('02_Plan_Maestro'!$C$6:$C$285,A20,'02_Plan_Maestro'!$P$6:$P$285),0)</f>
        <v>0</v>
      </c>
      <c r="E20" s="15">
        <f>COUNTIFS('02_Plan_Maestro'!$C$6:$C$285,A20,'02_Plan_Maestro'!$R$6:$R$285,"&lt;"&amp;TODAY(),'02_Plan_Maestro'!$V$6:$V$285,"&lt;&gt;Completada")</f>
        <v>0</v>
      </c>
      <c r="G20" s="15" t="s">
        <v>47</v>
      </c>
      <c r="H20" s="15">
        <f>COUNTIF('02_Plan_Maestro'!$C$6:$C$285,G20)</f>
        <v>0</v>
      </c>
      <c r="I20" s="15">
        <f>COUNTIFS('02_Plan_Maestro'!$C$6:$C$285,G20,'02_Plan_Maestro'!$V$6:$V$285,"Completada")</f>
        <v>0</v>
      </c>
      <c r="J20" s="16">
        <f>IFERROR(SUMPRODUCT(('02_Plan_Maestro'!$C$6:$C$285=G20)*'02_Plan_Maestro'!$P$6:$P$285*'02_Plan_Maestro'!$W$6:$W$285)/SUMIF('02_Plan_Maestro'!$C$6:$C$285,G20,'02_Plan_Maestro'!$P$6:$P$285),0)</f>
        <v>0</v>
      </c>
    </row>
    <row r="21" spans="1:10" x14ac:dyDescent="0.25">
      <c r="A21" s="15" t="s">
        <v>48</v>
      </c>
      <c r="B21" s="15">
        <f>COUNTIF('02_Plan_Maestro'!$C$6:$C$285,A21)</f>
        <v>0</v>
      </c>
      <c r="C21" s="15">
        <f>COUNTIFS('02_Plan_Maestro'!$C$6:$C$285,A21,'02_Plan_Maestro'!$V$6:$V$285,"Completada")</f>
        <v>0</v>
      </c>
      <c r="D21" s="16">
        <f>IFERROR(SUMPRODUCT(('02_Plan_Maestro'!$C$6:$C$285=A21)*'02_Plan_Maestro'!$P$6:$P$285*'02_Plan_Maestro'!$W$6:$W$285)/SUMIF('02_Plan_Maestro'!$C$6:$C$285,A21,'02_Plan_Maestro'!$P$6:$P$285),0)</f>
        <v>0</v>
      </c>
      <c r="E21" s="15">
        <f>COUNTIFS('02_Plan_Maestro'!$C$6:$C$285,A21,'02_Plan_Maestro'!$R$6:$R$285,"&lt;"&amp;TODAY(),'02_Plan_Maestro'!$V$6:$V$285,"&lt;&gt;Completada")</f>
        <v>0</v>
      </c>
      <c r="G21" s="15" t="s">
        <v>49</v>
      </c>
      <c r="H21" s="15">
        <f>COUNTIF('02_Plan_Maestro'!$C$6:$C$285,G21)</f>
        <v>0</v>
      </c>
      <c r="I21" s="15">
        <f>COUNTIFS('02_Plan_Maestro'!$C$6:$C$285,G21,'02_Plan_Maestro'!$V$6:$V$285,"Completada")</f>
        <v>0</v>
      </c>
      <c r="J21" s="16">
        <f>IFERROR(SUMPRODUCT(('02_Plan_Maestro'!$C$6:$C$285=G21)*'02_Plan_Maestro'!$P$6:$P$285*'02_Plan_Maestro'!$W$6:$W$285)/SUMIF('02_Plan_Maestro'!$C$6:$C$285,G21,'02_Plan_Maestro'!$P$6:$P$285),0)</f>
        <v>0</v>
      </c>
    </row>
    <row r="22" spans="1:10" x14ac:dyDescent="0.25">
      <c r="A22" s="15" t="s">
        <v>50</v>
      </c>
      <c r="B22" s="15">
        <f>COUNTIF('02_Plan_Maestro'!$C$6:$C$285,A22)</f>
        <v>0</v>
      </c>
      <c r="C22" s="15">
        <f>COUNTIFS('02_Plan_Maestro'!$C$6:$C$285,A22,'02_Plan_Maestro'!$V$6:$V$285,"Completada")</f>
        <v>0</v>
      </c>
      <c r="D22" s="16">
        <f>IFERROR(SUMPRODUCT(('02_Plan_Maestro'!$C$6:$C$285=A22)*'02_Plan_Maestro'!$P$6:$P$285*'02_Plan_Maestro'!$W$6:$W$285)/SUMIF('02_Plan_Maestro'!$C$6:$C$285,A22,'02_Plan_Maestro'!$P$6:$P$285),0)</f>
        <v>0</v>
      </c>
      <c r="E22" s="15">
        <f>COUNTIFS('02_Plan_Maestro'!$C$6:$C$285,A22,'02_Plan_Maestro'!$R$6:$R$285,"&lt;"&amp;TODAY(),'02_Plan_Maestro'!$V$6:$V$285,"&lt;&gt;Completada")</f>
        <v>0</v>
      </c>
      <c r="G22" s="15" t="s">
        <v>51</v>
      </c>
      <c r="H22" s="15">
        <f>COUNTIF('02_Plan_Maestro'!$C$6:$C$285,G22)</f>
        <v>0</v>
      </c>
      <c r="I22" s="15">
        <f>COUNTIFS('02_Plan_Maestro'!$C$6:$C$285,G22,'02_Plan_Maestro'!$V$6:$V$285,"Completada")</f>
        <v>0</v>
      </c>
      <c r="J22" s="16">
        <f>IFERROR(SUMPRODUCT(('02_Plan_Maestro'!$C$6:$C$285=G22)*'02_Plan_Maestro'!$P$6:$P$285*'02_Plan_Maestro'!$W$6:$W$285)/SUMIF('02_Plan_Maestro'!$C$6:$C$285,G22,'02_Plan_Maestro'!$P$6:$P$285),0)</f>
        <v>0</v>
      </c>
    </row>
    <row r="23" spans="1:10" x14ac:dyDescent="0.25">
      <c r="A23" s="15" t="s">
        <v>52</v>
      </c>
      <c r="B23" s="15">
        <f>COUNTIF('02_Plan_Maestro'!$C$6:$C$285,A23)</f>
        <v>0</v>
      </c>
      <c r="C23" s="15">
        <f>COUNTIFS('02_Plan_Maestro'!$C$6:$C$285,A23,'02_Plan_Maestro'!$V$6:$V$285,"Completada")</f>
        <v>0</v>
      </c>
      <c r="D23" s="16">
        <f>IFERROR(SUMPRODUCT(('02_Plan_Maestro'!$C$6:$C$285=A23)*'02_Plan_Maestro'!$P$6:$P$285*'02_Plan_Maestro'!$W$6:$W$285)/SUMIF('02_Plan_Maestro'!$C$6:$C$285,A23,'02_Plan_Maestro'!$P$6:$P$285),0)</f>
        <v>0</v>
      </c>
      <c r="E23" s="15">
        <f>COUNTIFS('02_Plan_Maestro'!$C$6:$C$285,A23,'02_Plan_Maestro'!$R$6:$R$285,"&lt;"&amp;TODAY(),'02_Plan_Maestro'!$V$6:$V$285,"&lt;&gt;Completada")</f>
        <v>0</v>
      </c>
      <c r="G23" s="15" t="s">
        <v>53</v>
      </c>
      <c r="H23" s="15">
        <f>COUNTIF('02_Plan_Maestro'!$C$6:$C$285,G23)</f>
        <v>0</v>
      </c>
      <c r="I23" s="15">
        <f>COUNTIFS('02_Plan_Maestro'!$C$6:$C$285,G23,'02_Plan_Maestro'!$V$6:$V$285,"Completada")</f>
        <v>0</v>
      </c>
      <c r="J23" s="16">
        <f>IFERROR(SUMPRODUCT(('02_Plan_Maestro'!$C$6:$C$285=G23)*'02_Plan_Maestro'!$P$6:$P$285*'02_Plan_Maestro'!$W$6:$W$285)/SUMIF('02_Plan_Maestro'!$C$6:$C$285,G23,'02_Plan_Maestro'!$P$6:$P$285),0)</f>
        <v>0</v>
      </c>
    </row>
    <row r="24" spans="1:10" x14ac:dyDescent="0.25">
      <c r="A24" s="15" t="s">
        <v>54</v>
      </c>
      <c r="B24" s="15">
        <f>COUNTIF('02_Plan_Maestro'!$C$6:$C$285,A24)</f>
        <v>0</v>
      </c>
      <c r="C24" s="15">
        <f>COUNTIFS('02_Plan_Maestro'!$C$6:$C$285,A24,'02_Plan_Maestro'!$V$6:$V$285,"Completada")</f>
        <v>0</v>
      </c>
      <c r="D24" s="16">
        <f>IFERROR(SUMPRODUCT(('02_Plan_Maestro'!$C$6:$C$285=A24)*'02_Plan_Maestro'!$P$6:$P$285*'02_Plan_Maestro'!$W$6:$W$285)/SUMIF('02_Plan_Maestro'!$C$6:$C$285,A24,'02_Plan_Maestro'!$P$6:$P$285),0)</f>
        <v>0</v>
      </c>
      <c r="E24" s="15">
        <f>COUNTIFS('02_Plan_Maestro'!$C$6:$C$285,A24,'02_Plan_Maestro'!$R$6:$R$285,"&lt;"&amp;TODAY(),'02_Plan_Maestro'!$V$6:$V$285,"&lt;&gt;Completada")</f>
        <v>0</v>
      </c>
      <c r="G24" s="15" t="s">
        <v>55</v>
      </c>
      <c r="H24" s="15">
        <f>COUNTIF('02_Plan_Maestro'!$C$6:$C$285,G24)</f>
        <v>0</v>
      </c>
      <c r="I24" s="15">
        <f>COUNTIFS('02_Plan_Maestro'!$C$6:$C$285,G24,'02_Plan_Maestro'!$V$6:$V$285,"Completada")</f>
        <v>0</v>
      </c>
      <c r="J24" s="16">
        <f>IFERROR(SUMPRODUCT(('02_Plan_Maestro'!$C$6:$C$285=G24)*'02_Plan_Maestro'!$P$6:$P$285*'02_Plan_Maestro'!$W$6:$W$285)/SUMIF('02_Plan_Maestro'!$C$6:$C$285,G24,'02_Plan_Maestro'!$P$6:$P$285),0)</f>
        <v>0</v>
      </c>
    </row>
    <row r="25" spans="1:10" x14ac:dyDescent="0.25">
      <c r="A25" s="15" t="s">
        <v>56</v>
      </c>
      <c r="B25" s="15">
        <f>COUNTIF('02_Plan_Maestro'!$C$6:$C$285,A25)</f>
        <v>0</v>
      </c>
      <c r="C25" s="15">
        <f>COUNTIFS('02_Plan_Maestro'!$C$6:$C$285,A25,'02_Plan_Maestro'!$V$6:$V$285,"Completada")</f>
        <v>0</v>
      </c>
      <c r="D25" s="16">
        <f>IFERROR(SUMPRODUCT(('02_Plan_Maestro'!$C$6:$C$285=A25)*'02_Plan_Maestro'!$P$6:$P$285*'02_Plan_Maestro'!$W$6:$W$285)/SUMIF('02_Plan_Maestro'!$C$6:$C$285,A25,'02_Plan_Maestro'!$P$6:$P$285),0)</f>
        <v>0</v>
      </c>
      <c r="E25" s="15">
        <f>COUNTIFS('02_Plan_Maestro'!$C$6:$C$285,A25,'02_Plan_Maestro'!$R$6:$R$285,"&lt;"&amp;TODAY(),'02_Plan_Maestro'!$V$6:$V$285,"&lt;&gt;Completada")</f>
        <v>0</v>
      </c>
      <c r="G25" s="15" t="s">
        <v>57</v>
      </c>
      <c r="H25" s="15">
        <f>COUNTIF('02_Plan_Maestro'!$C$6:$C$285,G25)</f>
        <v>0</v>
      </c>
      <c r="I25" s="15">
        <f>COUNTIFS('02_Plan_Maestro'!$C$6:$C$285,G25,'02_Plan_Maestro'!$V$6:$V$285,"Completada")</f>
        <v>0</v>
      </c>
      <c r="J25" s="16">
        <f>IFERROR(SUMPRODUCT(('02_Plan_Maestro'!$C$6:$C$285=G25)*'02_Plan_Maestro'!$P$6:$P$285*'02_Plan_Maestro'!$W$6:$W$285)/SUMIF('02_Plan_Maestro'!$C$6:$C$285,G25,'02_Plan_Maestro'!$P$6:$P$285),0)</f>
        <v>0</v>
      </c>
    </row>
    <row r="26" spans="1:10" x14ac:dyDescent="0.25">
      <c r="A26" s="15" t="s">
        <v>58</v>
      </c>
      <c r="B26" s="15">
        <f>COUNTIF('02_Plan_Maestro'!$C$6:$C$285,A26)</f>
        <v>0</v>
      </c>
      <c r="C26" s="15">
        <f>COUNTIFS('02_Plan_Maestro'!$C$6:$C$285,A26,'02_Plan_Maestro'!$V$6:$V$285,"Completada")</f>
        <v>0</v>
      </c>
      <c r="D26" s="16">
        <f>IFERROR(SUMPRODUCT(('02_Plan_Maestro'!$C$6:$C$285=A26)*'02_Plan_Maestro'!$P$6:$P$285*'02_Plan_Maestro'!$W$6:$W$285)/SUMIF('02_Plan_Maestro'!$C$6:$C$285,A26,'02_Plan_Maestro'!$P$6:$P$285),0)</f>
        <v>0</v>
      </c>
      <c r="E26" s="15">
        <f>COUNTIFS('02_Plan_Maestro'!$C$6:$C$285,A26,'02_Plan_Maestro'!$R$6:$R$285,"&lt;"&amp;TODAY(),'02_Plan_Maestro'!$V$6:$V$285,"&lt;&gt;Completada")</f>
        <v>0</v>
      </c>
      <c r="G26" s="15" t="s">
        <v>59</v>
      </c>
      <c r="H26" s="15">
        <f>COUNTIF('02_Plan_Maestro'!$C$6:$C$285,G26)</f>
        <v>0</v>
      </c>
      <c r="I26" s="15">
        <f>COUNTIFS('02_Plan_Maestro'!$C$6:$C$285,G26,'02_Plan_Maestro'!$V$6:$V$285,"Completada")</f>
        <v>0</v>
      </c>
      <c r="J26" s="16">
        <f>IFERROR(SUMPRODUCT(('02_Plan_Maestro'!$C$6:$C$285=G26)*'02_Plan_Maestro'!$P$6:$P$285*'02_Plan_Maestro'!$W$6:$W$285)/SUMIF('02_Plan_Maestro'!$C$6:$C$285,G26,'02_Plan_Maestro'!$P$6:$P$285),0)</f>
        <v>0</v>
      </c>
    </row>
    <row r="27" spans="1:10" x14ac:dyDescent="0.25">
      <c r="A27" s="15" t="s">
        <v>60</v>
      </c>
      <c r="B27" s="15">
        <f>COUNTIF('02_Plan_Maestro'!$C$6:$C$285,A27)</f>
        <v>0</v>
      </c>
      <c r="C27" s="15">
        <f>COUNTIFS('02_Plan_Maestro'!$C$6:$C$285,A27,'02_Plan_Maestro'!$V$6:$V$285,"Completada")</f>
        <v>0</v>
      </c>
      <c r="D27" s="16">
        <f>IFERROR(SUMPRODUCT(('02_Plan_Maestro'!$C$6:$C$285=A27)*'02_Plan_Maestro'!$P$6:$P$285*'02_Plan_Maestro'!$W$6:$W$285)/SUMIF('02_Plan_Maestro'!$C$6:$C$285,A27,'02_Plan_Maestro'!$P$6:$P$285),0)</f>
        <v>0</v>
      </c>
      <c r="E27" s="15">
        <f>COUNTIFS('02_Plan_Maestro'!$C$6:$C$285,A27,'02_Plan_Maestro'!$R$6:$R$285,"&lt;"&amp;TODAY(),'02_Plan_Maestro'!$V$6:$V$285,"&lt;&gt;Completada")</f>
        <v>0</v>
      </c>
      <c r="G27" s="15" t="s">
        <v>61</v>
      </c>
      <c r="H27" s="15">
        <f>COUNTIF('02_Plan_Maestro'!$C$6:$C$285,G27)</f>
        <v>0</v>
      </c>
      <c r="I27" s="15">
        <f>COUNTIFS('02_Plan_Maestro'!$C$6:$C$285,G27,'02_Plan_Maestro'!$V$6:$V$285,"Completada")</f>
        <v>0</v>
      </c>
      <c r="J27" s="16">
        <f>IFERROR(SUMPRODUCT(('02_Plan_Maestro'!$C$6:$C$285=G27)*'02_Plan_Maestro'!$P$6:$P$285*'02_Plan_Maestro'!$W$6:$W$285)/SUMIF('02_Plan_Maestro'!$C$6:$C$285,G27,'02_Plan_Maestro'!$P$6:$P$285),0)</f>
        <v>0</v>
      </c>
    </row>
    <row r="28" spans="1:5" x14ac:dyDescent="0.25">
      <c r="A28" s="15" t="s">
        <v>62</v>
      </c>
      <c r="B28" s="15">
        <f>COUNTIF('02_Plan_Maestro'!$C$6:$C$285,A28)</f>
        <v>0</v>
      </c>
      <c r="C28" s="15">
        <f>COUNTIFS('02_Plan_Maestro'!$C$6:$C$285,A28,'02_Plan_Maestro'!$V$6:$V$285,"Completada")</f>
        <v>0</v>
      </c>
      <c r="D28" s="16">
        <f>IFERROR(SUMPRODUCT(('02_Plan_Maestro'!$C$6:$C$285=A28)*'02_Plan_Maestro'!$P$6:$P$285*'02_Plan_Maestro'!$W$6:$W$285)/SUMIF('02_Plan_Maestro'!$C$6:$C$285,A28,'02_Plan_Maestro'!$P$6:$P$285),0)</f>
        <v>0</v>
      </c>
      <c r="E28" s="15">
        <f>COUNTIFS('02_Plan_Maestro'!$C$6:$C$285,A28,'02_Plan_Maestro'!$R$6:$R$285,"&lt;"&amp;TODAY(),'02_Plan_Maestro'!$V$6:$V$285,"&lt;&gt;Completada")</f>
        <v>0</v>
      </c>
    </row>
  </sheetData>
  <mergeCells count="19">
    <mergeCell ref="A1:J1"/>
    <mergeCell ref="A2:J2"/>
    <mergeCell ref="A5:B5"/>
    <mergeCell ref="C5:D5"/>
    <mergeCell ref="E5:F5"/>
    <mergeCell ref="G5:H5"/>
    <mergeCell ref="A6:B7"/>
    <mergeCell ref="C6:D7"/>
    <mergeCell ref="E6:F7"/>
    <mergeCell ref="G6:H7"/>
    <mergeCell ref="A9:B9"/>
    <mergeCell ref="C9:D9"/>
    <mergeCell ref="E9:F9"/>
    <mergeCell ref="G9:H9"/>
    <mergeCell ref="A10:B11"/>
    <mergeCell ref="C10:D11"/>
    <mergeCell ref="E10:F11"/>
    <mergeCell ref="G10:H11"/>
    <mergeCell ref="A14:J14"/>
  </mergeCells>
  <pageMargins left="0.25" right="0.25" top="0.55" bottom="0.55" header="0.2" footer="0.2"/>
  <pageSetup paperSize="9" orientation="landscape" fitToWidth="1" fitToHeight="0"/>
  <headerFooter>
    <oddHeader>&amp;LGENTIA ERP&amp;CPlan de implementación&amp;R&amp;D</oddHeader>
    <oddFooter>&amp;LDocumento de trabajo&amp;CConfidencial&amp;R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85"/>
  <sheetViews>
    <sheetView workbookViewId="0" showGridLines="0">
      <pane xSplit="5" ySplit="5" topLeftCell="F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5" customWidth="1"/>
    <col min="4" max="4" width="30" customWidth="1"/>
    <col min="5" max="5" width="34" customWidth="1"/>
    <col min="6" max="6" width="58" customWidth="1"/>
    <col min="7" max="7" width="34" customWidth="1"/>
    <col min="8" max="8" width="48" customWidth="1"/>
    <col min="9" max="9" width="32" customWidth="1"/>
    <col min="10" max="10" width="24" customWidth="1"/>
    <col min="11" max="11" width="22" customWidth="1"/>
    <col min="12" max="12" width="23" customWidth="1"/>
    <col min="13" max="13" width="13" customWidth="1"/>
    <col min="14" max="14" width="25" customWidth="1"/>
    <col min="15" max="15" width="11" customWidth="1"/>
    <col min="16" max="16" width="8" customWidth="1"/>
    <col min="17" max="18" width="13" customWidth="1"/>
    <col min="19" max="19" width="12" customWidth="1"/>
    <col min="20" max="21" width="13" customWidth="1"/>
    <col min="22" max="22" width="14" customWidth="1"/>
    <col min="23" max="23" width="11" customWidth="1"/>
    <col min="24" max="24" width="12" customWidth="1"/>
    <col min="25" max="25" width="35" customWidth="1"/>
  </cols>
  <sheetData>
    <row r="1" ht="34" customHeight="1" spans="1:25" x14ac:dyDescent="0.25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26" customHeight="1" spans="1:25" x14ac:dyDescent="0.25">
      <c r="A2" s="9" t="s">
        <v>64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5" ht="32" customHeight="1" spans="1:25" x14ac:dyDescent="0.25">
      <c r="A5" s="14" t="s">
        <v>65</v>
      </c>
      <c r="B5" s="14" t="s">
        <v>66</v>
      </c>
      <c r="C5" s="14" t="s">
        <v>35</v>
      </c>
      <c r="D5" s="14" t="s">
        <v>67</v>
      </c>
      <c r="E5" s="14" t="s">
        <v>68</v>
      </c>
      <c r="F5" s="14" t="s">
        <v>69</v>
      </c>
      <c r="G5" s="14" t="s">
        <v>70</v>
      </c>
      <c r="H5" s="14" t="s">
        <v>71</v>
      </c>
      <c r="I5" s="14" t="s">
        <v>72</v>
      </c>
      <c r="J5" s="14" t="s">
        <v>73</v>
      </c>
      <c r="K5" s="14" t="s">
        <v>74</v>
      </c>
      <c r="L5" s="14" t="s">
        <v>75</v>
      </c>
      <c r="M5" s="14" t="s">
        <v>76</v>
      </c>
      <c r="N5" s="14" t="s">
        <v>77</v>
      </c>
      <c r="O5" s="14" t="s">
        <v>78</v>
      </c>
      <c r="P5" s="14" t="s">
        <v>79</v>
      </c>
      <c r="Q5" s="14" t="s">
        <v>80</v>
      </c>
      <c r="R5" s="14" t="s">
        <v>81</v>
      </c>
      <c r="S5" s="14" t="s">
        <v>82</v>
      </c>
      <c r="T5" s="14" t="s">
        <v>83</v>
      </c>
      <c r="U5" s="14" t="s">
        <v>84</v>
      </c>
      <c r="V5" s="14" t="s">
        <v>85</v>
      </c>
      <c r="W5" s="14" t="s">
        <v>86</v>
      </c>
      <c r="X5" s="14" t="s">
        <v>87</v>
      </c>
      <c r="Y5" s="14" t="s">
        <v>88</v>
      </c>
    </row>
    <row r="6" ht="46" customHeight="1" spans="1:25" x14ac:dyDescent="0.25">
      <c r="A6" s="17" t="s">
        <v>89</v>
      </c>
      <c r="B6" s="17" t="s">
        <v>90</v>
      </c>
      <c r="C6" s="17" t="s">
        <v>38</v>
      </c>
      <c r="D6" s="17" t="s">
        <v>91</v>
      </c>
      <c r="E6" s="17" t="s">
        <v>92</v>
      </c>
      <c r="F6" s="17" t="s">
        <v>93</v>
      </c>
      <c r="G6" s="17" t="s">
        <v>94</v>
      </c>
      <c r="H6" s="17" t="s">
        <v>95</v>
      </c>
      <c r="I6" s="17" t="s">
        <v>96</v>
      </c>
      <c r="J6" s="17" t="s">
        <v>97</v>
      </c>
      <c r="K6" s="17" t="s">
        <v>98</v>
      </c>
      <c r="L6" s="17" t="s">
        <v>99</v>
      </c>
      <c r="M6" s="17" t="s">
        <v>37</v>
      </c>
      <c r="N6" s="17" t="s">
        <v>100</v>
      </c>
      <c r="O6" s="17" t="s">
        <v>101</v>
      </c>
      <c r="P6" s="17">
        <v>2</v>
      </c>
      <c r="Q6" s="18">
        <v>46328.75</v>
      </c>
      <c r="R6" s="18">
        <v>46331.75</v>
      </c>
      <c r="S6" s="17">
        <f>NETWORKDAYS(Q6,R6)</f>
        <v>4</v>
      </c>
      <c r="T6" s="18" t="s">
        <v>37</v>
      </c>
      <c r="U6" s="18" t="s">
        <v>37</v>
      </c>
      <c r="V6" s="17" t="s">
        <v>102</v>
      </c>
      <c r="W6" s="19">
        <v>0</v>
      </c>
      <c r="X6" s="17" t="str">
        <f>IF(OR(V6="Completada",V6="No aplica"),"VERDE",IF(V6="Bloqueada","ROJO",IF(R6&lt;TODAY(),"ROJO",IF(AND(R6-TODAY()&lt;=7,W6&lt;1),"AMARILLO","GRIS"))))</f>
        <v>GRIS</v>
      </c>
      <c r="Y6" s="17" t="s">
        <v>37</v>
      </c>
    </row>
    <row r="7" ht="46" customHeight="1" spans="1:25" x14ac:dyDescent="0.25">
      <c r="A7" s="20" t="s">
        <v>103</v>
      </c>
      <c r="B7" s="20" t="s">
        <v>90</v>
      </c>
      <c r="C7" s="20" t="s">
        <v>38</v>
      </c>
      <c r="D7" s="20" t="s">
        <v>104</v>
      </c>
      <c r="E7" s="20" t="s">
        <v>105</v>
      </c>
      <c r="F7" s="20" t="s">
        <v>106</v>
      </c>
      <c r="G7" s="20" t="s">
        <v>107</v>
      </c>
      <c r="H7" s="20" t="s">
        <v>108</v>
      </c>
      <c r="I7" s="20" t="s">
        <v>96</v>
      </c>
      <c r="J7" s="20" t="s">
        <v>97</v>
      </c>
      <c r="K7" s="20" t="s">
        <v>98</v>
      </c>
      <c r="L7" s="20" t="s">
        <v>99</v>
      </c>
      <c r="M7" s="20" t="s">
        <v>89</v>
      </c>
      <c r="N7" s="20" t="s">
        <v>109</v>
      </c>
      <c r="O7" s="20" t="s">
        <v>101</v>
      </c>
      <c r="P7" s="20">
        <v>2</v>
      </c>
      <c r="Q7" s="21">
        <v>46332.75</v>
      </c>
      <c r="R7" s="21">
        <v>46336.75</v>
      </c>
      <c r="S7" s="20">
        <f>NETWORKDAYS(Q7,R7)</f>
        <v>3</v>
      </c>
      <c r="T7" s="21" t="s">
        <v>37</v>
      </c>
      <c r="U7" s="21" t="s">
        <v>37</v>
      </c>
      <c r="V7" s="20" t="s">
        <v>102</v>
      </c>
      <c r="W7" s="22">
        <v>0</v>
      </c>
      <c r="X7" s="20" t="str">
        <f>IF(OR(V7="Completada",V7="No aplica"),"VERDE",IF(V7="Bloqueada","ROJO",IF(R7&lt;TODAY(),"ROJO",IF(AND(R7-TODAY()&lt;=7,W7&lt;1),"AMARILLO","GRIS"))))</f>
        <v>GRIS</v>
      </c>
      <c r="Y7" s="20" t="s">
        <v>37</v>
      </c>
    </row>
    <row r="8" ht="46" customHeight="1" spans="1:25" x14ac:dyDescent="0.25">
      <c r="A8" s="17" t="s">
        <v>110</v>
      </c>
      <c r="B8" s="17" t="s">
        <v>90</v>
      </c>
      <c r="C8" s="17" t="s">
        <v>38</v>
      </c>
      <c r="D8" s="17" t="s">
        <v>111</v>
      </c>
      <c r="E8" s="17" t="s">
        <v>112</v>
      </c>
      <c r="F8" s="17" t="s">
        <v>113</v>
      </c>
      <c r="G8" s="17" t="s">
        <v>114</v>
      </c>
      <c r="H8" s="17" t="s">
        <v>115</v>
      </c>
      <c r="I8" s="17" t="s">
        <v>96</v>
      </c>
      <c r="J8" s="17" t="s">
        <v>97</v>
      </c>
      <c r="K8" s="17" t="s">
        <v>98</v>
      </c>
      <c r="L8" s="17" t="s">
        <v>99</v>
      </c>
      <c r="M8" s="17" t="s">
        <v>103</v>
      </c>
      <c r="N8" s="17" t="s">
        <v>116</v>
      </c>
      <c r="O8" s="17" t="s">
        <v>117</v>
      </c>
      <c r="P8" s="17">
        <v>1</v>
      </c>
      <c r="Q8" s="18">
        <v>46337.75</v>
      </c>
      <c r="R8" s="18">
        <v>46339.75</v>
      </c>
      <c r="S8" s="17">
        <f>NETWORKDAYS(Q8,R8)</f>
        <v>3</v>
      </c>
      <c r="T8" s="18" t="s">
        <v>37</v>
      </c>
      <c r="U8" s="18" t="s">
        <v>37</v>
      </c>
      <c r="V8" s="17" t="s">
        <v>102</v>
      </c>
      <c r="W8" s="19">
        <v>0</v>
      </c>
      <c r="X8" s="17" t="str">
        <f>IF(OR(V8="Completada",V8="No aplica"),"VERDE",IF(V8="Bloqueada","ROJO",IF(R8&lt;TODAY(),"ROJO",IF(AND(R8-TODAY()&lt;=7,W8&lt;1),"AMARILLO","GRIS"))))</f>
        <v>GRIS</v>
      </c>
      <c r="Y8" s="17" t="s">
        <v>37</v>
      </c>
    </row>
    <row r="9" ht="46" customHeight="1" spans="1:25" x14ac:dyDescent="0.25">
      <c r="A9" s="20" t="s">
        <v>118</v>
      </c>
      <c r="B9" s="20" t="s">
        <v>90</v>
      </c>
      <c r="C9" s="20" t="s">
        <v>38</v>
      </c>
      <c r="D9" s="20" t="s">
        <v>119</v>
      </c>
      <c r="E9" s="20" t="s">
        <v>120</v>
      </c>
      <c r="F9" s="20" t="s">
        <v>121</v>
      </c>
      <c r="G9" s="20" t="s">
        <v>122</v>
      </c>
      <c r="H9" s="20" t="s">
        <v>123</v>
      </c>
      <c r="I9" s="20" t="s">
        <v>96</v>
      </c>
      <c r="J9" s="20" t="s">
        <v>97</v>
      </c>
      <c r="K9" s="20" t="s">
        <v>98</v>
      </c>
      <c r="L9" s="20" t="s">
        <v>99</v>
      </c>
      <c r="M9" s="20" t="s">
        <v>110</v>
      </c>
      <c r="N9" s="20" t="s">
        <v>124</v>
      </c>
      <c r="O9" s="20" t="s">
        <v>117</v>
      </c>
      <c r="P9" s="20">
        <v>1</v>
      </c>
      <c r="Q9" s="21">
        <v>46342.75</v>
      </c>
      <c r="R9" s="21">
        <v>46345.75</v>
      </c>
      <c r="S9" s="20">
        <f>NETWORKDAYS(Q9,R9)</f>
        <v>4</v>
      </c>
      <c r="T9" s="21" t="s">
        <v>37</v>
      </c>
      <c r="U9" s="21" t="s">
        <v>37</v>
      </c>
      <c r="V9" s="20" t="s">
        <v>102</v>
      </c>
      <c r="W9" s="22">
        <v>0</v>
      </c>
      <c r="X9" s="20" t="str">
        <f>IF(OR(V9="Completada",V9="No aplica"),"VERDE",IF(V9="Bloqueada","ROJO",IF(R9&lt;TODAY(),"ROJO",IF(AND(R9-TODAY()&lt;=7,W9&lt;1),"AMARILLO","GRIS"))))</f>
        <v>GRIS</v>
      </c>
      <c r="Y9" s="20" t="s">
        <v>37</v>
      </c>
    </row>
    <row r="10" ht="46" customHeight="1" spans="1:25" x14ac:dyDescent="0.25">
      <c r="A10" s="17" t="s">
        <v>125</v>
      </c>
      <c r="B10" s="17" t="s">
        <v>90</v>
      </c>
      <c r="C10" s="17" t="s">
        <v>38</v>
      </c>
      <c r="D10" s="17" t="s">
        <v>126</v>
      </c>
      <c r="E10" s="17" t="s">
        <v>127</v>
      </c>
      <c r="F10" s="17" t="s">
        <v>128</v>
      </c>
      <c r="G10" s="17" t="s">
        <v>129</v>
      </c>
      <c r="H10" s="17" t="s">
        <v>130</v>
      </c>
      <c r="I10" s="17" t="s">
        <v>96</v>
      </c>
      <c r="J10" s="17" t="s">
        <v>97</v>
      </c>
      <c r="K10" s="17" t="s">
        <v>98</v>
      </c>
      <c r="L10" s="17" t="s">
        <v>99</v>
      </c>
      <c r="M10" s="17" t="s">
        <v>118</v>
      </c>
      <c r="N10" s="17" t="s">
        <v>131</v>
      </c>
      <c r="O10" s="17" t="s">
        <v>117</v>
      </c>
      <c r="P10" s="17">
        <v>1</v>
      </c>
      <c r="Q10" s="18">
        <v>46346.75</v>
      </c>
      <c r="R10" s="18">
        <v>46350.75</v>
      </c>
      <c r="S10" s="17">
        <f>NETWORKDAYS(Q10,R10)</f>
        <v>3</v>
      </c>
      <c r="T10" s="18" t="s">
        <v>37</v>
      </c>
      <c r="U10" s="18" t="s">
        <v>37</v>
      </c>
      <c r="V10" s="17" t="s">
        <v>102</v>
      </c>
      <c r="W10" s="19">
        <v>0</v>
      </c>
      <c r="X10" s="17" t="str">
        <f>IF(OR(V10="Completada",V10="No aplica"),"VERDE",IF(V10="Bloqueada","ROJO",IF(R10&lt;TODAY(),"ROJO",IF(AND(R10-TODAY()&lt;=7,W10&lt;1),"AMARILLO","GRIS"))))</f>
        <v>GRIS</v>
      </c>
      <c r="Y10" s="17" t="s">
        <v>37</v>
      </c>
    </row>
    <row r="11" ht="46" customHeight="1" spans="1:25" x14ac:dyDescent="0.25">
      <c r="A11" s="20" t="s">
        <v>132</v>
      </c>
      <c r="B11" s="20" t="s">
        <v>90</v>
      </c>
      <c r="C11" s="20" t="s">
        <v>38</v>
      </c>
      <c r="D11" s="20" t="s">
        <v>133</v>
      </c>
      <c r="E11" s="20" t="s">
        <v>134</v>
      </c>
      <c r="F11" s="20" t="s">
        <v>135</v>
      </c>
      <c r="G11" s="20" t="s">
        <v>136</v>
      </c>
      <c r="H11" s="20" t="s">
        <v>137</v>
      </c>
      <c r="I11" s="20" t="s">
        <v>96</v>
      </c>
      <c r="J11" s="20" t="s">
        <v>97</v>
      </c>
      <c r="K11" s="20" t="s">
        <v>98</v>
      </c>
      <c r="L11" s="20" t="s">
        <v>99</v>
      </c>
      <c r="M11" s="20" t="s">
        <v>125</v>
      </c>
      <c r="N11" s="20" t="s">
        <v>138</v>
      </c>
      <c r="O11" s="20" t="s">
        <v>117</v>
      </c>
      <c r="P11" s="20">
        <v>1</v>
      </c>
      <c r="Q11" s="21">
        <v>46351.75</v>
      </c>
      <c r="R11" s="21">
        <v>46353.75</v>
      </c>
      <c r="S11" s="20">
        <f>NETWORKDAYS(Q11,R11)</f>
        <v>3</v>
      </c>
      <c r="T11" s="21" t="s">
        <v>37</v>
      </c>
      <c r="U11" s="21" t="s">
        <v>37</v>
      </c>
      <c r="V11" s="20" t="s">
        <v>102</v>
      </c>
      <c r="W11" s="22">
        <v>0</v>
      </c>
      <c r="X11" s="20" t="str">
        <f>IF(OR(V11="Completada",V11="No aplica"),"VERDE",IF(V11="Bloqueada","ROJO",IF(R11&lt;TODAY(),"ROJO",IF(AND(R11-TODAY()&lt;=7,W11&lt;1),"AMARILLO","GRIS"))))</f>
        <v>GRIS</v>
      </c>
      <c r="Y11" s="20" t="s">
        <v>37</v>
      </c>
    </row>
    <row r="12" ht="46" customHeight="1" spans="1:25" x14ac:dyDescent="0.25">
      <c r="A12" s="17" t="s">
        <v>139</v>
      </c>
      <c r="B12" s="17" t="s">
        <v>90</v>
      </c>
      <c r="C12" s="17" t="s">
        <v>38</v>
      </c>
      <c r="D12" s="17" t="s">
        <v>140</v>
      </c>
      <c r="E12" s="17" t="s">
        <v>141</v>
      </c>
      <c r="F12" s="17" t="s">
        <v>142</v>
      </c>
      <c r="G12" s="17" t="s">
        <v>143</v>
      </c>
      <c r="H12" s="17" t="s">
        <v>144</v>
      </c>
      <c r="I12" s="17" t="s">
        <v>96</v>
      </c>
      <c r="J12" s="17" t="s">
        <v>97</v>
      </c>
      <c r="K12" s="17" t="s">
        <v>98</v>
      </c>
      <c r="L12" s="17" t="s">
        <v>99</v>
      </c>
      <c r="M12" s="17" t="s">
        <v>132</v>
      </c>
      <c r="N12" s="17" t="s">
        <v>145</v>
      </c>
      <c r="O12" s="17" t="s">
        <v>117</v>
      </c>
      <c r="P12" s="17">
        <v>1</v>
      </c>
      <c r="Q12" s="18">
        <v>46356.75</v>
      </c>
      <c r="R12" s="18">
        <v>46359.75</v>
      </c>
      <c r="S12" s="17">
        <f>NETWORKDAYS(Q12,R12)</f>
        <v>4</v>
      </c>
      <c r="T12" s="18" t="s">
        <v>37</v>
      </c>
      <c r="U12" s="18" t="s">
        <v>37</v>
      </c>
      <c r="V12" s="17" t="s">
        <v>102</v>
      </c>
      <c r="W12" s="19">
        <v>0</v>
      </c>
      <c r="X12" s="17" t="str">
        <f>IF(OR(V12="Completada",V12="No aplica"),"VERDE",IF(V12="Bloqueada","ROJO",IF(R12&lt;TODAY(),"ROJO",IF(AND(R12-TODAY()&lt;=7,W12&lt;1),"AMARILLO","GRIS"))))</f>
        <v>GRIS</v>
      </c>
      <c r="Y12" s="17" t="s">
        <v>37</v>
      </c>
    </row>
    <row r="13" ht="46" customHeight="1" spans="1:25" x14ac:dyDescent="0.25">
      <c r="A13" s="20" t="s">
        <v>146</v>
      </c>
      <c r="B13" s="20" t="s">
        <v>90</v>
      </c>
      <c r="C13" s="20" t="s">
        <v>38</v>
      </c>
      <c r="D13" s="20" t="s">
        <v>147</v>
      </c>
      <c r="E13" s="20" t="s">
        <v>148</v>
      </c>
      <c r="F13" s="20" t="s">
        <v>149</v>
      </c>
      <c r="G13" s="20" t="s">
        <v>150</v>
      </c>
      <c r="H13" s="20" t="s">
        <v>151</v>
      </c>
      <c r="I13" s="20" t="s">
        <v>96</v>
      </c>
      <c r="J13" s="20" t="s">
        <v>97</v>
      </c>
      <c r="K13" s="20" t="s">
        <v>98</v>
      </c>
      <c r="L13" s="20" t="s">
        <v>99</v>
      </c>
      <c r="M13" s="20" t="s">
        <v>139</v>
      </c>
      <c r="N13" s="20" t="s">
        <v>152</v>
      </c>
      <c r="O13" s="20" t="s">
        <v>117</v>
      </c>
      <c r="P13" s="20">
        <v>1</v>
      </c>
      <c r="Q13" s="21">
        <v>46360.75</v>
      </c>
      <c r="R13" s="21">
        <v>46364.75</v>
      </c>
      <c r="S13" s="20">
        <f>NETWORKDAYS(Q13,R13)</f>
        <v>3</v>
      </c>
      <c r="T13" s="21" t="s">
        <v>37</v>
      </c>
      <c r="U13" s="21" t="s">
        <v>37</v>
      </c>
      <c r="V13" s="20" t="s">
        <v>102</v>
      </c>
      <c r="W13" s="22">
        <v>0</v>
      </c>
      <c r="X13" s="20" t="str">
        <f>IF(OR(V13="Completada",V13="No aplica"),"VERDE",IF(V13="Bloqueada","ROJO",IF(R13&lt;TODAY(),"ROJO",IF(AND(R13-TODAY()&lt;=7,W13&lt;1),"AMARILLO","GRIS"))))</f>
        <v>GRIS</v>
      </c>
      <c r="Y13" s="20" t="s">
        <v>37</v>
      </c>
    </row>
    <row r="14" ht="46" customHeight="1" spans="1:25" x14ac:dyDescent="0.25">
      <c r="A14" s="17" t="s">
        <v>153</v>
      </c>
      <c r="B14" s="17" t="s">
        <v>90</v>
      </c>
      <c r="C14" s="17" t="s">
        <v>38</v>
      </c>
      <c r="D14" s="17" t="s">
        <v>154</v>
      </c>
      <c r="E14" s="17" t="s">
        <v>155</v>
      </c>
      <c r="F14" s="17" t="s">
        <v>156</v>
      </c>
      <c r="G14" s="17" t="s">
        <v>157</v>
      </c>
      <c r="H14" s="17" t="s">
        <v>158</v>
      </c>
      <c r="I14" s="17" t="s">
        <v>96</v>
      </c>
      <c r="J14" s="17" t="s">
        <v>97</v>
      </c>
      <c r="K14" s="17" t="s">
        <v>98</v>
      </c>
      <c r="L14" s="17" t="s">
        <v>99</v>
      </c>
      <c r="M14" s="17" t="s">
        <v>146</v>
      </c>
      <c r="N14" s="17" t="s">
        <v>159</v>
      </c>
      <c r="O14" s="17" t="s">
        <v>117</v>
      </c>
      <c r="P14" s="17">
        <v>1</v>
      </c>
      <c r="Q14" s="18">
        <v>46365.75</v>
      </c>
      <c r="R14" s="18">
        <v>46367.75</v>
      </c>
      <c r="S14" s="17">
        <f>NETWORKDAYS(Q14,R14)</f>
        <v>3</v>
      </c>
      <c r="T14" s="18" t="s">
        <v>37</v>
      </c>
      <c r="U14" s="18" t="s">
        <v>37</v>
      </c>
      <c r="V14" s="17" t="s">
        <v>102</v>
      </c>
      <c r="W14" s="19">
        <v>0</v>
      </c>
      <c r="X14" s="17" t="str">
        <f>IF(OR(V14="Completada",V14="No aplica"),"VERDE",IF(V14="Bloqueada","ROJO",IF(R14&lt;TODAY(),"ROJO",IF(AND(R14-TODAY()&lt;=7,W14&lt;1),"AMARILLO","GRIS"))))</f>
        <v>GRIS</v>
      </c>
      <c r="Y14" s="17" t="s">
        <v>37</v>
      </c>
    </row>
    <row r="15" ht="46" customHeight="1" spans="1:25" x14ac:dyDescent="0.25">
      <c r="A15" s="20" t="s">
        <v>160</v>
      </c>
      <c r="B15" s="20" t="s">
        <v>90</v>
      </c>
      <c r="C15" s="20" t="s">
        <v>39</v>
      </c>
      <c r="D15" s="20" t="s">
        <v>161</v>
      </c>
      <c r="E15" s="20" t="s">
        <v>162</v>
      </c>
      <c r="F15" s="20" t="s">
        <v>163</v>
      </c>
      <c r="G15" s="20" t="s">
        <v>164</v>
      </c>
      <c r="H15" s="20" t="s">
        <v>165</v>
      </c>
      <c r="I15" s="20" t="s">
        <v>96</v>
      </c>
      <c r="J15" s="20" t="s">
        <v>97</v>
      </c>
      <c r="K15" s="20" t="s">
        <v>166</v>
      </c>
      <c r="L15" s="20" t="s">
        <v>167</v>
      </c>
      <c r="M15" s="20" t="s">
        <v>37</v>
      </c>
      <c r="N15" s="20" t="s">
        <v>100</v>
      </c>
      <c r="O15" s="20" t="s">
        <v>168</v>
      </c>
      <c r="P15" s="20">
        <v>3</v>
      </c>
      <c r="Q15" s="21">
        <v>46329.75</v>
      </c>
      <c r="R15" s="21">
        <v>46335.75</v>
      </c>
      <c r="S15" s="20">
        <f>NETWORKDAYS(Q15,R15)</f>
        <v>5</v>
      </c>
      <c r="T15" s="21" t="s">
        <v>37</v>
      </c>
      <c r="U15" s="21" t="s">
        <v>37</v>
      </c>
      <c r="V15" s="20" t="s">
        <v>102</v>
      </c>
      <c r="W15" s="22">
        <v>0</v>
      </c>
      <c r="X15" s="20" t="str">
        <f>IF(OR(V15="Completada",V15="No aplica"),"VERDE",IF(V15="Bloqueada","ROJO",IF(R15&lt;TODAY(),"ROJO",IF(AND(R15-TODAY()&lt;=7,W15&lt;1),"AMARILLO","GRIS"))))</f>
        <v>GRIS</v>
      </c>
      <c r="Y15" s="20" t="s">
        <v>37</v>
      </c>
    </row>
    <row r="16" ht="46" customHeight="1" spans="1:25" x14ac:dyDescent="0.25">
      <c r="A16" s="17" t="s">
        <v>169</v>
      </c>
      <c r="B16" s="17" t="s">
        <v>90</v>
      </c>
      <c r="C16" s="17" t="s">
        <v>39</v>
      </c>
      <c r="D16" s="17" t="s">
        <v>170</v>
      </c>
      <c r="E16" s="17" t="s">
        <v>171</v>
      </c>
      <c r="F16" s="17" t="s">
        <v>172</v>
      </c>
      <c r="G16" s="17" t="s">
        <v>173</v>
      </c>
      <c r="H16" s="17" t="s">
        <v>174</v>
      </c>
      <c r="I16" s="17" t="s">
        <v>96</v>
      </c>
      <c r="J16" s="17" t="s">
        <v>97</v>
      </c>
      <c r="K16" s="17" t="s">
        <v>166</v>
      </c>
      <c r="L16" s="17" t="s">
        <v>167</v>
      </c>
      <c r="M16" s="17" t="s">
        <v>160</v>
      </c>
      <c r="N16" s="17" t="s">
        <v>175</v>
      </c>
      <c r="O16" s="17" t="s">
        <v>168</v>
      </c>
      <c r="P16" s="17">
        <v>3</v>
      </c>
      <c r="Q16" s="18">
        <v>46336.75</v>
      </c>
      <c r="R16" s="18">
        <v>46342.75</v>
      </c>
      <c r="S16" s="17">
        <f>NETWORKDAYS(Q16,R16)</f>
        <v>5</v>
      </c>
      <c r="T16" s="18" t="s">
        <v>37</v>
      </c>
      <c r="U16" s="18" t="s">
        <v>37</v>
      </c>
      <c r="V16" s="17" t="s">
        <v>102</v>
      </c>
      <c r="W16" s="19">
        <v>0</v>
      </c>
      <c r="X16" s="17" t="str">
        <f>IF(OR(V16="Completada",V16="No aplica"),"VERDE",IF(V16="Bloqueada","ROJO",IF(R16&lt;TODAY(),"ROJO",IF(AND(R16-TODAY()&lt;=7,W16&lt;1),"AMARILLO","GRIS"))))</f>
        <v>GRIS</v>
      </c>
      <c r="Y16" s="17" t="s">
        <v>37</v>
      </c>
    </row>
    <row r="17" ht="46" customHeight="1" spans="1:25" x14ac:dyDescent="0.25">
      <c r="A17" s="20" t="s">
        <v>176</v>
      </c>
      <c r="B17" s="20" t="s">
        <v>90</v>
      </c>
      <c r="C17" s="20" t="s">
        <v>39</v>
      </c>
      <c r="D17" s="20" t="s">
        <v>177</v>
      </c>
      <c r="E17" s="20" t="s">
        <v>178</v>
      </c>
      <c r="F17" s="20" t="s">
        <v>179</v>
      </c>
      <c r="G17" s="20" t="s">
        <v>180</v>
      </c>
      <c r="H17" s="20" t="s">
        <v>181</v>
      </c>
      <c r="I17" s="20" t="s">
        <v>96</v>
      </c>
      <c r="J17" s="20" t="s">
        <v>97</v>
      </c>
      <c r="K17" s="20" t="s">
        <v>166</v>
      </c>
      <c r="L17" s="20" t="s">
        <v>167</v>
      </c>
      <c r="M17" s="20" t="s">
        <v>169</v>
      </c>
      <c r="N17" s="20" t="s">
        <v>182</v>
      </c>
      <c r="O17" s="20" t="s">
        <v>117</v>
      </c>
      <c r="P17" s="20">
        <v>1</v>
      </c>
      <c r="Q17" s="21">
        <v>46343.75</v>
      </c>
      <c r="R17" s="21">
        <v>46345.75</v>
      </c>
      <c r="S17" s="20">
        <f>NETWORKDAYS(Q17,R17)</f>
        <v>3</v>
      </c>
      <c r="T17" s="21" t="s">
        <v>37</v>
      </c>
      <c r="U17" s="21" t="s">
        <v>37</v>
      </c>
      <c r="V17" s="20" t="s">
        <v>102</v>
      </c>
      <c r="W17" s="22">
        <v>0</v>
      </c>
      <c r="X17" s="20" t="str">
        <f>IF(OR(V17="Completada",V17="No aplica"),"VERDE",IF(V17="Bloqueada","ROJO",IF(R17&lt;TODAY(),"ROJO",IF(AND(R17-TODAY()&lt;=7,W17&lt;1),"AMARILLO","GRIS"))))</f>
        <v>GRIS</v>
      </c>
      <c r="Y17" s="20" t="s">
        <v>37</v>
      </c>
    </row>
    <row r="18" ht="46" customHeight="1" spans="1:25" x14ac:dyDescent="0.25">
      <c r="A18" s="17" t="s">
        <v>183</v>
      </c>
      <c r="B18" s="17" t="s">
        <v>90</v>
      </c>
      <c r="C18" s="17" t="s">
        <v>39</v>
      </c>
      <c r="D18" s="17" t="s">
        <v>184</v>
      </c>
      <c r="E18" s="17" t="s">
        <v>185</v>
      </c>
      <c r="F18" s="17" t="s">
        <v>186</v>
      </c>
      <c r="G18" s="17" t="s">
        <v>187</v>
      </c>
      <c r="H18" s="17" t="s">
        <v>188</v>
      </c>
      <c r="I18" s="17" t="s">
        <v>96</v>
      </c>
      <c r="J18" s="17" t="s">
        <v>97</v>
      </c>
      <c r="K18" s="17" t="s">
        <v>166</v>
      </c>
      <c r="L18" s="17" t="s">
        <v>167</v>
      </c>
      <c r="M18" s="17" t="s">
        <v>176</v>
      </c>
      <c r="N18" s="17" t="s">
        <v>189</v>
      </c>
      <c r="O18" s="17" t="s">
        <v>117</v>
      </c>
      <c r="P18" s="17">
        <v>1</v>
      </c>
      <c r="Q18" s="18">
        <v>46346.75</v>
      </c>
      <c r="R18" s="18">
        <v>46351.75</v>
      </c>
      <c r="S18" s="17">
        <f>NETWORKDAYS(Q18,R18)</f>
        <v>4</v>
      </c>
      <c r="T18" s="18" t="s">
        <v>37</v>
      </c>
      <c r="U18" s="18" t="s">
        <v>37</v>
      </c>
      <c r="V18" s="17" t="s">
        <v>102</v>
      </c>
      <c r="W18" s="19">
        <v>0</v>
      </c>
      <c r="X18" s="17" t="str">
        <f>IF(OR(V18="Completada",V18="No aplica"),"VERDE",IF(V18="Bloqueada","ROJO",IF(R18&lt;TODAY(),"ROJO",IF(AND(R18-TODAY()&lt;=7,W18&lt;1),"AMARILLO","GRIS"))))</f>
        <v>GRIS</v>
      </c>
      <c r="Y18" s="17" t="s">
        <v>37</v>
      </c>
    </row>
    <row r="19" ht="46" customHeight="1" spans="1:25" x14ac:dyDescent="0.25">
      <c r="A19" s="20" t="s">
        <v>190</v>
      </c>
      <c r="B19" s="20" t="s">
        <v>90</v>
      </c>
      <c r="C19" s="20" t="s">
        <v>39</v>
      </c>
      <c r="D19" s="20" t="s">
        <v>191</v>
      </c>
      <c r="E19" s="20" t="s">
        <v>192</v>
      </c>
      <c r="F19" s="20" t="s">
        <v>193</v>
      </c>
      <c r="G19" s="20" t="s">
        <v>194</v>
      </c>
      <c r="H19" s="20" t="s">
        <v>195</v>
      </c>
      <c r="I19" s="20" t="s">
        <v>96</v>
      </c>
      <c r="J19" s="20" t="s">
        <v>97</v>
      </c>
      <c r="K19" s="20" t="s">
        <v>166</v>
      </c>
      <c r="L19" s="20" t="s">
        <v>167</v>
      </c>
      <c r="M19" s="20" t="s">
        <v>183</v>
      </c>
      <c r="N19" s="20" t="s">
        <v>196</v>
      </c>
      <c r="O19" s="20" t="s">
        <v>117</v>
      </c>
      <c r="P19" s="20">
        <v>1</v>
      </c>
      <c r="Q19" s="21">
        <v>46352.75</v>
      </c>
      <c r="R19" s="21">
        <v>46356.75</v>
      </c>
      <c r="S19" s="20">
        <f>NETWORKDAYS(Q19,R19)</f>
        <v>3</v>
      </c>
      <c r="T19" s="21" t="s">
        <v>37</v>
      </c>
      <c r="U19" s="21" t="s">
        <v>37</v>
      </c>
      <c r="V19" s="20" t="s">
        <v>102</v>
      </c>
      <c r="W19" s="22">
        <v>0</v>
      </c>
      <c r="X19" s="20" t="str">
        <f>IF(OR(V19="Completada",V19="No aplica"),"VERDE",IF(V19="Bloqueada","ROJO",IF(R19&lt;TODAY(),"ROJO",IF(AND(R19-TODAY()&lt;=7,W19&lt;1),"AMARILLO","GRIS"))))</f>
        <v>GRIS</v>
      </c>
      <c r="Y19" s="20" t="s">
        <v>37</v>
      </c>
    </row>
    <row r="20" ht="46" customHeight="1" spans="1:25" x14ac:dyDescent="0.25">
      <c r="A20" s="17" t="s">
        <v>197</v>
      </c>
      <c r="B20" s="17" t="s">
        <v>90</v>
      </c>
      <c r="C20" s="17" t="s">
        <v>39</v>
      </c>
      <c r="D20" s="17" t="s">
        <v>198</v>
      </c>
      <c r="E20" s="17" t="s">
        <v>199</v>
      </c>
      <c r="F20" s="17" t="s">
        <v>200</v>
      </c>
      <c r="G20" s="17" t="s">
        <v>201</v>
      </c>
      <c r="H20" s="17" t="s">
        <v>202</v>
      </c>
      <c r="I20" s="17" t="s">
        <v>96</v>
      </c>
      <c r="J20" s="17" t="s">
        <v>97</v>
      </c>
      <c r="K20" s="17" t="s">
        <v>166</v>
      </c>
      <c r="L20" s="17" t="s">
        <v>167</v>
      </c>
      <c r="M20" s="17" t="s">
        <v>190</v>
      </c>
      <c r="N20" s="17" t="s">
        <v>203</v>
      </c>
      <c r="O20" s="17" t="s">
        <v>168</v>
      </c>
      <c r="P20" s="17">
        <v>3</v>
      </c>
      <c r="Q20" s="18">
        <v>46357.75</v>
      </c>
      <c r="R20" s="18">
        <v>46363.75</v>
      </c>
      <c r="S20" s="17">
        <f>NETWORKDAYS(Q20,R20)</f>
        <v>5</v>
      </c>
      <c r="T20" s="18" t="s">
        <v>37</v>
      </c>
      <c r="U20" s="18" t="s">
        <v>37</v>
      </c>
      <c r="V20" s="17" t="s">
        <v>102</v>
      </c>
      <c r="W20" s="19">
        <v>0</v>
      </c>
      <c r="X20" s="17" t="str">
        <f>IF(OR(V20="Completada",V20="No aplica"),"VERDE",IF(V20="Bloqueada","ROJO",IF(R20&lt;TODAY(),"ROJO",IF(AND(R20-TODAY()&lt;=7,W20&lt;1),"AMARILLO","GRIS"))))</f>
        <v>GRIS</v>
      </c>
      <c r="Y20" s="17" t="s">
        <v>37</v>
      </c>
    </row>
    <row r="21" ht="46" customHeight="1" spans="1:25" x14ac:dyDescent="0.25">
      <c r="A21" s="20" t="s">
        <v>204</v>
      </c>
      <c r="B21" s="20" t="s">
        <v>90</v>
      </c>
      <c r="C21" s="20" t="s">
        <v>39</v>
      </c>
      <c r="D21" s="20" t="s">
        <v>205</v>
      </c>
      <c r="E21" s="20" t="s">
        <v>206</v>
      </c>
      <c r="F21" s="20" t="s">
        <v>207</v>
      </c>
      <c r="G21" s="20" t="s">
        <v>208</v>
      </c>
      <c r="H21" s="20" t="s">
        <v>209</v>
      </c>
      <c r="I21" s="20" t="s">
        <v>96</v>
      </c>
      <c r="J21" s="20" t="s">
        <v>97</v>
      </c>
      <c r="K21" s="20" t="s">
        <v>166</v>
      </c>
      <c r="L21" s="20" t="s">
        <v>167</v>
      </c>
      <c r="M21" s="20" t="s">
        <v>197</v>
      </c>
      <c r="N21" s="20" t="s">
        <v>210</v>
      </c>
      <c r="O21" s="20" t="s">
        <v>117</v>
      </c>
      <c r="P21" s="20">
        <v>1</v>
      </c>
      <c r="Q21" s="21">
        <v>46364.75</v>
      </c>
      <c r="R21" s="21">
        <v>46367.75</v>
      </c>
      <c r="S21" s="20">
        <f>NETWORKDAYS(Q21,R21)</f>
        <v>4</v>
      </c>
      <c r="T21" s="21" t="s">
        <v>37</v>
      </c>
      <c r="U21" s="21" t="s">
        <v>37</v>
      </c>
      <c r="V21" s="20" t="s">
        <v>102</v>
      </c>
      <c r="W21" s="22">
        <v>0</v>
      </c>
      <c r="X21" s="20" t="str">
        <f>IF(OR(V21="Completada",V21="No aplica"),"VERDE",IF(V21="Bloqueada","ROJO",IF(R21&lt;TODAY(),"ROJO",IF(AND(R21-TODAY()&lt;=7,W21&lt;1),"AMARILLO","GRIS"))))</f>
        <v>GRIS</v>
      </c>
      <c r="Y21" s="20" t="s">
        <v>37</v>
      </c>
    </row>
    <row r="22" ht="46" customHeight="1" spans="1:25" x14ac:dyDescent="0.25">
      <c r="A22" s="17" t="s">
        <v>211</v>
      </c>
      <c r="B22" s="17" t="s">
        <v>90</v>
      </c>
      <c r="C22" s="17" t="s">
        <v>39</v>
      </c>
      <c r="D22" s="17" t="s">
        <v>212</v>
      </c>
      <c r="E22" s="17" t="s">
        <v>213</v>
      </c>
      <c r="F22" s="17" t="s">
        <v>214</v>
      </c>
      <c r="G22" s="17" t="s">
        <v>215</v>
      </c>
      <c r="H22" s="17" t="s">
        <v>216</v>
      </c>
      <c r="I22" s="17" t="s">
        <v>96</v>
      </c>
      <c r="J22" s="17" t="s">
        <v>97</v>
      </c>
      <c r="K22" s="17" t="s">
        <v>166</v>
      </c>
      <c r="L22" s="17" t="s">
        <v>167</v>
      </c>
      <c r="M22" s="17" t="s">
        <v>204</v>
      </c>
      <c r="N22" s="17" t="s">
        <v>217</v>
      </c>
      <c r="O22" s="17" t="s">
        <v>117</v>
      </c>
      <c r="P22" s="17">
        <v>1</v>
      </c>
      <c r="Q22" s="18">
        <v>46370.75</v>
      </c>
      <c r="R22" s="18">
        <v>46372.75</v>
      </c>
      <c r="S22" s="17">
        <f>NETWORKDAYS(Q22,R22)</f>
        <v>3</v>
      </c>
      <c r="T22" s="18" t="s">
        <v>37</v>
      </c>
      <c r="U22" s="18" t="s">
        <v>37</v>
      </c>
      <c r="V22" s="17" t="s">
        <v>102</v>
      </c>
      <c r="W22" s="19">
        <v>0</v>
      </c>
      <c r="X22" s="17" t="str">
        <f>IF(OR(V22="Completada",V22="No aplica"),"VERDE",IF(V22="Bloqueada","ROJO",IF(R22&lt;TODAY(),"ROJO",IF(AND(R22-TODAY()&lt;=7,W22&lt;1),"AMARILLO","GRIS"))))</f>
        <v>GRIS</v>
      </c>
      <c r="Y22" s="17" t="s">
        <v>37</v>
      </c>
    </row>
    <row r="23" ht="46" customHeight="1" spans="1:25" x14ac:dyDescent="0.25">
      <c r="A23" s="20" t="s">
        <v>218</v>
      </c>
      <c r="B23" s="20" t="s">
        <v>90</v>
      </c>
      <c r="C23" s="20" t="s">
        <v>39</v>
      </c>
      <c r="D23" s="20" t="s">
        <v>219</v>
      </c>
      <c r="E23" s="20" t="s">
        <v>220</v>
      </c>
      <c r="F23" s="20" t="s">
        <v>221</v>
      </c>
      <c r="G23" s="20" t="s">
        <v>222</v>
      </c>
      <c r="H23" s="20" t="s">
        <v>223</v>
      </c>
      <c r="I23" s="20" t="s">
        <v>96</v>
      </c>
      <c r="J23" s="20" t="s">
        <v>97</v>
      </c>
      <c r="K23" s="20" t="s">
        <v>166</v>
      </c>
      <c r="L23" s="20" t="s">
        <v>167</v>
      </c>
      <c r="M23" s="20" t="s">
        <v>211</v>
      </c>
      <c r="N23" s="20" t="s">
        <v>224</v>
      </c>
      <c r="O23" s="20" t="s">
        <v>117</v>
      </c>
      <c r="P23" s="20">
        <v>1</v>
      </c>
      <c r="Q23" s="21">
        <v>46373.75</v>
      </c>
      <c r="R23" s="21">
        <v>46377.75</v>
      </c>
      <c r="S23" s="20">
        <f>NETWORKDAYS(Q23,R23)</f>
        <v>3</v>
      </c>
      <c r="T23" s="21" t="s">
        <v>37</v>
      </c>
      <c r="U23" s="21" t="s">
        <v>37</v>
      </c>
      <c r="V23" s="20" t="s">
        <v>102</v>
      </c>
      <c r="W23" s="22">
        <v>0</v>
      </c>
      <c r="X23" s="20" t="str">
        <f>IF(OR(V23="Completada",V23="No aplica"),"VERDE",IF(V23="Bloqueada","ROJO",IF(R23&lt;TODAY(),"ROJO",IF(AND(R23-TODAY()&lt;=7,W23&lt;1),"AMARILLO","GRIS"))))</f>
        <v>GRIS</v>
      </c>
      <c r="Y23" s="20" t="s">
        <v>37</v>
      </c>
    </row>
    <row r="24" ht="46" customHeight="1" spans="1:25" x14ac:dyDescent="0.25">
      <c r="A24" s="17" t="s">
        <v>225</v>
      </c>
      <c r="B24" s="17" t="s">
        <v>226</v>
      </c>
      <c r="C24" s="17" t="s">
        <v>40</v>
      </c>
      <c r="D24" s="17" t="s">
        <v>227</v>
      </c>
      <c r="E24" s="17" t="s">
        <v>228</v>
      </c>
      <c r="F24" s="17" t="s">
        <v>229</v>
      </c>
      <c r="G24" s="17" t="s">
        <v>230</v>
      </c>
      <c r="H24" s="17" t="s">
        <v>231</v>
      </c>
      <c r="I24" s="17" t="s">
        <v>96</v>
      </c>
      <c r="J24" s="17" t="s">
        <v>97</v>
      </c>
      <c r="K24" s="17" t="s">
        <v>232</v>
      </c>
      <c r="L24" s="17" t="s">
        <v>233</v>
      </c>
      <c r="M24" s="17" t="s">
        <v>37</v>
      </c>
      <c r="N24" s="17" t="s">
        <v>100</v>
      </c>
      <c r="O24" s="17" t="s">
        <v>101</v>
      </c>
      <c r="P24" s="17">
        <v>2</v>
      </c>
      <c r="Q24" s="18">
        <v>46344.75</v>
      </c>
      <c r="R24" s="18">
        <v>46349.75</v>
      </c>
      <c r="S24" s="17">
        <f>NETWORKDAYS(Q24,R24)</f>
        <v>4</v>
      </c>
      <c r="T24" s="18" t="s">
        <v>37</v>
      </c>
      <c r="U24" s="18" t="s">
        <v>37</v>
      </c>
      <c r="V24" s="17" t="s">
        <v>102</v>
      </c>
      <c r="W24" s="19">
        <v>0</v>
      </c>
      <c r="X24" s="17" t="str">
        <f>IF(OR(V24="Completada",V24="No aplica"),"VERDE",IF(V24="Bloqueada","ROJO",IF(R24&lt;TODAY(),"ROJO",IF(AND(R24-TODAY()&lt;=7,W24&lt;1),"AMARILLO","GRIS"))))</f>
        <v>GRIS</v>
      </c>
      <c r="Y24" s="17" t="s">
        <v>37</v>
      </c>
    </row>
    <row r="25" ht="46" customHeight="1" spans="1:25" x14ac:dyDescent="0.25">
      <c r="A25" s="20" t="s">
        <v>234</v>
      </c>
      <c r="B25" s="20" t="s">
        <v>226</v>
      </c>
      <c r="C25" s="20" t="s">
        <v>40</v>
      </c>
      <c r="D25" s="20" t="s">
        <v>235</v>
      </c>
      <c r="E25" s="20" t="s">
        <v>236</v>
      </c>
      <c r="F25" s="20" t="s">
        <v>237</v>
      </c>
      <c r="G25" s="20" t="s">
        <v>238</v>
      </c>
      <c r="H25" s="20" t="s">
        <v>239</v>
      </c>
      <c r="I25" s="20" t="s">
        <v>96</v>
      </c>
      <c r="J25" s="20" t="s">
        <v>97</v>
      </c>
      <c r="K25" s="20" t="s">
        <v>232</v>
      </c>
      <c r="L25" s="20" t="s">
        <v>233</v>
      </c>
      <c r="M25" s="20" t="s">
        <v>225</v>
      </c>
      <c r="N25" s="20" t="s">
        <v>240</v>
      </c>
      <c r="O25" s="20" t="s">
        <v>101</v>
      </c>
      <c r="P25" s="20">
        <v>2</v>
      </c>
      <c r="Q25" s="21">
        <v>46350.75</v>
      </c>
      <c r="R25" s="21">
        <v>46352.75</v>
      </c>
      <c r="S25" s="20">
        <f>NETWORKDAYS(Q25,R25)</f>
        <v>3</v>
      </c>
      <c r="T25" s="21" t="s">
        <v>37</v>
      </c>
      <c r="U25" s="21" t="s">
        <v>37</v>
      </c>
      <c r="V25" s="20" t="s">
        <v>102</v>
      </c>
      <c r="W25" s="22">
        <v>0</v>
      </c>
      <c r="X25" s="20" t="str">
        <f>IF(OR(V25="Completada",V25="No aplica"),"VERDE",IF(V25="Bloqueada","ROJO",IF(R25&lt;TODAY(),"ROJO",IF(AND(R25-TODAY()&lt;=7,W25&lt;1),"AMARILLO","GRIS"))))</f>
        <v>GRIS</v>
      </c>
      <c r="Y25" s="20" t="s">
        <v>37</v>
      </c>
    </row>
    <row r="26" ht="46" customHeight="1" spans="1:25" x14ac:dyDescent="0.25">
      <c r="A26" s="17" t="s">
        <v>241</v>
      </c>
      <c r="B26" s="17" t="s">
        <v>226</v>
      </c>
      <c r="C26" s="17" t="s">
        <v>40</v>
      </c>
      <c r="D26" s="17" t="s">
        <v>242</v>
      </c>
      <c r="E26" s="17" t="s">
        <v>243</v>
      </c>
      <c r="F26" s="17" t="s">
        <v>244</v>
      </c>
      <c r="G26" s="17" t="s">
        <v>245</v>
      </c>
      <c r="H26" s="17" t="s">
        <v>246</v>
      </c>
      <c r="I26" s="17" t="s">
        <v>96</v>
      </c>
      <c r="J26" s="17" t="s">
        <v>97</v>
      </c>
      <c r="K26" s="17" t="s">
        <v>232</v>
      </c>
      <c r="L26" s="17" t="s">
        <v>233</v>
      </c>
      <c r="M26" s="17" t="s">
        <v>234</v>
      </c>
      <c r="N26" s="17" t="s">
        <v>247</v>
      </c>
      <c r="O26" s="17" t="s">
        <v>117</v>
      </c>
      <c r="P26" s="17">
        <v>1</v>
      </c>
      <c r="Q26" s="18">
        <v>46353.75</v>
      </c>
      <c r="R26" s="18">
        <v>46357.75</v>
      </c>
      <c r="S26" s="17">
        <f>NETWORKDAYS(Q26,R26)</f>
        <v>3</v>
      </c>
      <c r="T26" s="18" t="s">
        <v>37</v>
      </c>
      <c r="U26" s="18" t="s">
        <v>37</v>
      </c>
      <c r="V26" s="17" t="s">
        <v>102</v>
      </c>
      <c r="W26" s="19">
        <v>0</v>
      </c>
      <c r="X26" s="17" t="str">
        <f>IF(OR(V26="Completada",V26="No aplica"),"VERDE",IF(V26="Bloqueada","ROJO",IF(R26&lt;TODAY(),"ROJO",IF(AND(R26-TODAY()&lt;=7,W26&lt;1),"AMARILLO","GRIS"))))</f>
        <v>GRIS</v>
      </c>
      <c r="Y26" s="17" t="s">
        <v>37</v>
      </c>
    </row>
    <row r="27" ht="46" customHeight="1" spans="1:25" x14ac:dyDescent="0.25">
      <c r="A27" s="20" t="s">
        <v>248</v>
      </c>
      <c r="B27" s="20" t="s">
        <v>226</v>
      </c>
      <c r="C27" s="20" t="s">
        <v>40</v>
      </c>
      <c r="D27" s="20" t="s">
        <v>249</v>
      </c>
      <c r="E27" s="20" t="s">
        <v>250</v>
      </c>
      <c r="F27" s="20" t="s">
        <v>251</v>
      </c>
      <c r="G27" s="20" t="s">
        <v>252</v>
      </c>
      <c r="H27" s="20" t="s">
        <v>253</v>
      </c>
      <c r="I27" s="20" t="s">
        <v>96</v>
      </c>
      <c r="J27" s="20" t="s">
        <v>97</v>
      </c>
      <c r="K27" s="20" t="s">
        <v>232</v>
      </c>
      <c r="L27" s="20" t="s">
        <v>233</v>
      </c>
      <c r="M27" s="20" t="s">
        <v>241</v>
      </c>
      <c r="N27" s="20" t="s">
        <v>254</v>
      </c>
      <c r="O27" s="20" t="s">
        <v>117</v>
      </c>
      <c r="P27" s="20">
        <v>1</v>
      </c>
      <c r="Q27" s="21">
        <v>46358.75</v>
      </c>
      <c r="R27" s="21">
        <v>46363.75</v>
      </c>
      <c r="S27" s="20">
        <f>NETWORKDAYS(Q27,R27)</f>
        <v>4</v>
      </c>
      <c r="T27" s="21" t="s">
        <v>37</v>
      </c>
      <c r="U27" s="21" t="s">
        <v>37</v>
      </c>
      <c r="V27" s="20" t="s">
        <v>102</v>
      </c>
      <c r="W27" s="22">
        <v>0</v>
      </c>
      <c r="X27" s="20" t="str">
        <f>IF(OR(V27="Completada",V27="No aplica"),"VERDE",IF(V27="Bloqueada","ROJO",IF(R27&lt;TODAY(),"ROJO",IF(AND(R27-TODAY()&lt;=7,W27&lt;1),"AMARILLO","GRIS"))))</f>
        <v>GRIS</v>
      </c>
      <c r="Y27" s="20" t="s">
        <v>37</v>
      </c>
    </row>
    <row r="28" ht="46" customHeight="1" spans="1:25" x14ac:dyDescent="0.25">
      <c r="A28" s="17" t="s">
        <v>255</v>
      </c>
      <c r="B28" s="17" t="s">
        <v>226</v>
      </c>
      <c r="C28" s="17" t="s">
        <v>40</v>
      </c>
      <c r="D28" s="17" t="s">
        <v>256</v>
      </c>
      <c r="E28" s="17" t="s">
        <v>257</v>
      </c>
      <c r="F28" s="17" t="s">
        <v>258</v>
      </c>
      <c r="G28" s="17" t="s">
        <v>259</v>
      </c>
      <c r="H28" s="17" t="s">
        <v>260</v>
      </c>
      <c r="I28" s="17" t="s">
        <v>96</v>
      </c>
      <c r="J28" s="17" t="s">
        <v>97</v>
      </c>
      <c r="K28" s="17" t="s">
        <v>232</v>
      </c>
      <c r="L28" s="17" t="s">
        <v>233</v>
      </c>
      <c r="M28" s="17" t="s">
        <v>248</v>
      </c>
      <c r="N28" s="17" t="s">
        <v>261</v>
      </c>
      <c r="O28" s="17" t="s">
        <v>117</v>
      </c>
      <c r="P28" s="17">
        <v>1</v>
      </c>
      <c r="Q28" s="18">
        <v>46364.75</v>
      </c>
      <c r="R28" s="18">
        <v>46366.75</v>
      </c>
      <c r="S28" s="17">
        <f>NETWORKDAYS(Q28,R28)</f>
        <v>3</v>
      </c>
      <c r="T28" s="18" t="s">
        <v>37</v>
      </c>
      <c r="U28" s="18" t="s">
        <v>37</v>
      </c>
      <c r="V28" s="17" t="s">
        <v>102</v>
      </c>
      <c r="W28" s="19">
        <v>0</v>
      </c>
      <c r="X28" s="17" t="str">
        <f>IF(OR(V28="Completada",V28="No aplica"),"VERDE",IF(V28="Bloqueada","ROJO",IF(R28&lt;TODAY(),"ROJO",IF(AND(R28-TODAY()&lt;=7,W28&lt;1),"AMARILLO","GRIS"))))</f>
        <v>GRIS</v>
      </c>
      <c r="Y28" s="17" t="s">
        <v>37</v>
      </c>
    </row>
    <row r="29" ht="46" customHeight="1" spans="1:25" x14ac:dyDescent="0.25">
      <c r="A29" s="20" t="s">
        <v>262</v>
      </c>
      <c r="B29" s="20" t="s">
        <v>226</v>
      </c>
      <c r="C29" s="20" t="s">
        <v>40</v>
      </c>
      <c r="D29" s="20" t="s">
        <v>263</v>
      </c>
      <c r="E29" s="20" t="s">
        <v>264</v>
      </c>
      <c r="F29" s="20" t="s">
        <v>265</v>
      </c>
      <c r="G29" s="20" t="s">
        <v>266</v>
      </c>
      <c r="H29" s="20" t="s">
        <v>267</v>
      </c>
      <c r="I29" s="20" t="s">
        <v>96</v>
      </c>
      <c r="J29" s="20" t="s">
        <v>97</v>
      </c>
      <c r="K29" s="20" t="s">
        <v>232</v>
      </c>
      <c r="L29" s="20" t="s">
        <v>233</v>
      </c>
      <c r="M29" s="20" t="s">
        <v>255</v>
      </c>
      <c r="N29" s="20" t="s">
        <v>268</v>
      </c>
      <c r="O29" s="20" t="s">
        <v>117</v>
      </c>
      <c r="P29" s="20">
        <v>1</v>
      </c>
      <c r="Q29" s="21">
        <v>46367.75</v>
      </c>
      <c r="R29" s="21">
        <v>46371.75</v>
      </c>
      <c r="S29" s="20">
        <f>NETWORKDAYS(Q29,R29)</f>
        <v>3</v>
      </c>
      <c r="T29" s="21" t="s">
        <v>37</v>
      </c>
      <c r="U29" s="21" t="s">
        <v>37</v>
      </c>
      <c r="V29" s="20" t="s">
        <v>102</v>
      </c>
      <c r="W29" s="22">
        <v>0</v>
      </c>
      <c r="X29" s="20" t="str">
        <f>IF(OR(V29="Completada",V29="No aplica"),"VERDE",IF(V29="Bloqueada","ROJO",IF(R29&lt;TODAY(),"ROJO",IF(AND(R29-TODAY()&lt;=7,W29&lt;1),"AMARILLO","GRIS"))))</f>
        <v>GRIS</v>
      </c>
      <c r="Y29" s="20" t="s">
        <v>37</v>
      </c>
    </row>
    <row r="30" ht="46" customHeight="1" spans="1:25" x14ac:dyDescent="0.25">
      <c r="A30" s="17" t="s">
        <v>269</v>
      </c>
      <c r="B30" s="17" t="s">
        <v>226</v>
      </c>
      <c r="C30" s="17" t="s">
        <v>40</v>
      </c>
      <c r="D30" s="17" t="s">
        <v>270</v>
      </c>
      <c r="E30" s="17" t="s">
        <v>271</v>
      </c>
      <c r="F30" s="17" t="s">
        <v>272</v>
      </c>
      <c r="G30" s="17" t="s">
        <v>273</v>
      </c>
      <c r="H30" s="17" t="s">
        <v>274</v>
      </c>
      <c r="I30" s="17" t="s">
        <v>96</v>
      </c>
      <c r="J30" s="17" t="s">
        <v>97</v>
      </c>
      <c r="K30" s="17" t="s">
        <v>232</v>
      </c>
      <c r="L30" s="17" t="s">
        <v>233</v>
      </c>
      <c r="M30" s="17" t="s">
        <v>262</v>
      </c>
      <c r="N30" s="17" t="s">
        <v>275</v>
      </c>
      <c r="O30" s="17" t="s">
        <v>117</v>
      </c>
      <c r="P30" s="17">
        <v>1</v>
      </c>
      <c r="Q30" s="18">
        <v>46372.75</v>
      </c>
      <c r="R30" s="18">
        <v>46377.75</v>
      </c>
      <c r="S30" s="17">
        <f>NETWORKDAYS(Q30,R30)</f>
        <v>4</v>
      </c>
      <c r="T30" s="18" t="s">
        <v>37</v>
      </c>
      <c r="U30" s="18" t="s">
        <v>37</v>
      </c>
      <c r="V30" s="17" t="s">
        <v>102</v>
      </c>
      <c r="W30" s="19">
        <v>0</v>
      </c>
      <c r="X30" s="17" t="str">
        <f>IF(OR(V30="Completada",V30="No aplica"),"VERDE",IF(V30="Bloqueada","ROJO",IF(R30&lt;TODAY(),"ROJO",IF(AND(R30-TODAY()&lt;=7,W30&lt;1),"AMARILLO","GRIS"))))</f>
        <v>GRIS</v>
      </c>
      <c r="Y30" s="17" t="s">
        <v>37</v>
      </c>
    </row>
    <row r="31" ht="46" customHeight="1" spans="1:25" x14ac:dyDescent="0.25">
      <c r="A31" s="20" t="s">
        <v>276</v>
      </c>
      <c r="B31" s="20" t="s">
        <v>226</v>
      </c>
      <c r="C31" s="20" t="s">
        <v>40</v>
      </c>
      <c r="D31" s="20" t="s">
        <v>277</v>
      </c>
      <c r="E31" s="20" t="s">
        <v>278</v>
      </c>
      <c r="F31" s="20" t="s">
        <v>279</v>
      </c>
      <c r="G31" s="20" t="s">
        <v>280</v>
      </c>
      <c r="H31" s="20" t="s">
        <v>281</v>
      </c>
      <c r="I31" s="20" t="s">
        <v>96</v>
      </c>
      <c r="J31" s="20" t="s">
        <v>97</v>
      </c>
      <c r="K31" s="20" t="s">
        <v>232</v>
      </c>
      <c r="L31" s="20" t="s">
        <v>233</v>
      </c>
      <c r="M31" s="20" t="s">
        <v>269</v>
      </c>
      <c r="N31" s="20" t="s">
        <v>282</v>
      </c>
      <c r="O31" s="20" t="s">
        <v>117</v>
      </c>
      <c r="P31" s="20">
        <v>1</v>
      </c>
      <c r="Q31" s="21">
        <v>46378.75</v>
      </c>
      <c r="R31" s="21">
        <v>46380.75</v>
      </c>
      <c r="S31" s="20">
        <f>NETWORKDAYS(Q31,R31)</f>
        <v>3</v>
      </c>
      <c r="T31" s="21" t="s">
        <v>37</v>
      </c>
      <c r="U31" s="21" t="s">
        <v>37</v>
      </c>
      <c r="V31" s="20" t="s">
        <v>102</v>
      </c>
      <c r="W31" s="22">
        <v>0</v>
      </c>
      <c r="X31" s="20" t="str">
        <f>IF(OR(V31="Completada",V31="No aplica"),"VERDE",IF(V31="Bloqueada","ROJO",IF(R31&lt;TODAY(),"ROJO",IF(AND(R31-TODAY()&lt;=7,W31&lt;1),"AMARILLO","GRIS"))))</f>
        <v>GRIS</v>
      </c>
      <c r="Y31" s="20" t="s">
        <v>37</v>
      </c>
    </row>
    <row r="32" ht="46" customHeight="1" spans="1:25" x14ac:dyDescent="0.25">
      <c r="A32" s="17" t="s">
        <v>283</v>
      </c>
      <c r="B32" s="17" t="s">
        <v>226</v>
      </c>
      <c r="C32" s="17" t="s">
        <v>40</v>
      </c>
      <c r="D32" s="17" t="s">
        <v>284</v>
      </c>
      <c r="E32" s="17" t="s">
        <v>285</v>
      </c>
      <c r="F32" s="17" t="s">
        <v>286</v>
      </c>
      <c r="G32" s="17" t="s">
        <v>287</v>
      </c>
      <c r="H32" s="17" t="s">
        <v>288</v>
      </c>
      <c r="I32" s="17" t="s">
        <v>96</v>
      </c>
      <c r="J32" s="17" t="s">
        <v>97</v>
      </c>
      <c r="K32" s="17" t="s">
        <v>232</v>
      </c>
      <c r="L32" s="17" t="s">
        <v>233</v>
      </c>
      <c r="M32" s="17" t="s">
        <v>276</v>
      </c>
      <c r="N32" s="17" t="s">
        <v>289</v>
      </c>
      <c r="O32" s="17" t="s">
        <v>117</v>
      </c>
      <c r="P32" s="17">
        <v>1</v>
      </c>
      <c r="Q32" s="18">
        <v>46381.75</v>
      </c>
      <c r="R32" s="18">
        <v>46385.75</v>
      </c>
      <c r="S32" s="17">
        <f>NETWORKDAYS(Q32,R32)</f>
        <v>3</v>
      </c>
      <c r="T32" s="18" t="s">
        <v>37</v>
      </c>
      <c r="U32" s="18" t="s">
        <v>37</v>
      </c>
      <c r="V32" s="17" t="s">
        <v>102</v>
      </c>
      <c r="W32" s="19">
        <v>0</v>
      </c>
      <c r="X32" s="17" t="str">
        <f>IF(OR(V32="Completada",V32="No aplica"),"VERDE",IF(V32="Bloqueada","ROJO",IF(R32&lt;TODAY(),"ROJO",IF(AND(R32-TODAY()&lt;=7,W32&lt;1),"AMARILLO","GRIS"))))</f>
        <v>GRIS</v>
      </c>
      <c r="Y32" s="17" t="s">
        <v>37</v>
      </c>
    </row>
    <row r="33" ht="46" customHeight="1" spans="1:25" x14ac:dyDescent="0.25">
      <c r="A33" s="20" t="s">
        <v>290</v>
      </c>
      <c r="B33" s="20" t="s">
        <v>226</v>
      </c>
      <c r="C33" s="20" t="s">
        <v>41</v>
      </c>
      <c r="D33" s="20" t="s">
        <v>291</v>
      </c>
      <c r="E33" s="20" t="s">
        <v>292</v>
      </c>
      <c r="F33" s="20" t="s">
        <v>293</v>
      </c>
      <c r="G33" s="20" t="s">
        <v>294</v>
      </c>
      <c r="H33" s="20" t="s">
        <v>295</v>
      </c>
      <c r="I33" s="20" t="s">
        <v>96</v>
      </c>
      <c r="J33" s="20" t="s">
        <v>97</v>
      </c>
      <c r="K33" s="20" t="s">
        <v>296</v>
      </c>
      <c r="L33" s="20" t="s">
        <v>297</v>
      </c>
      <c r="M33" s="20" t="s">
        <v>37</v>
      </c>
      <c r="N33" s="20" t="s">
        <v>100</v>
      </c>
      <c r="O33" s="20" t="s">
        <v>101</v>
      </c>
      <c r="P33" s="20">
        <v>2</v>
      </c>
      <c r="Q33" s="21">
        <v>46345.75</v>
      </c>
      <c r="R33" s="21">
        <v>46350.75</v>
      </c>
      <c r="S33" s="20">
        <f>NETWORKDAYS(Q33,R33)</f>
        <v>4</v>
      </c>
      <c r="T33" s="21" t="s">
        <v>37</v>
      </c>
      <c r="U33" s="21" t="s">
        <v>37</v>
      </c>
      <c r="V33" s="20" t="s">
        <v>102</v>
      </c>
      <c r="W33" s="22">
        <v>0</v>
      </c>
      <c r="X33" s="20" t="str">
        <f>IF(OR(V33="Completada",V33="No aplica"),"VERDE",IF(V33="Bloqueada","ROJO",IF(R33&lt;TODAY(),"ROJO",IF(AND(R33-TODAY()&lt;=7,W33&lt;1),"AMARILLO","GRIS"))))</f>
        <v>GRIS</v>
      </c>
      <c r="Y33" s="20" t="s">
        <v>37</v>
      </c>
    </row>
    <row r="34" ht="46" customHeight="1" spans="1:25" x14ac:dyDescent="0.25">
      <c r="A34" s="17" t="s">
        <v>298</v>
      </c>
      <c r="B34" s="17" t="s">
        <v>226</v>
      </c>
      <c r="C34" s="17" t="s">
        <v>41</v>
      </c>
      <c r="D34" s="17" t="s">
        <v>299</v>
      </c>
      <c r="E34" s="17" t="s">
        <v>300</v>
      </c>
      <c r="F34" s="17" t="s">
        <v>301</v>
      </c>
      <c r="G34" s="17" t="s">
        <v>302</v>
      </c>
      <c r="H34" s="17" t="s">
        <v>303</v>
      </c>
      <c r="I34" s="17" t="s">
        <v>96</v>
      </c>
      <c r="J34" s="17" t="s">
        <v>97</v>
      </c>
      <c r="K34" s="17" t="s">
        <v>296</v>
      </c>
      <c r="L34" s="17" t="s">
        <v>297</v>
      </c>
      <c r="M34" s="17" t="s">
        <v>290</v>
      </c>
      <c r="N34" s="17" t="s">
        <v>304</v>
      </c>
      <c r="O34" s="17" t="s">
        <v>101</v>
      </c>
      <c r="P34" s="17">
        <v>2</v>
      </c>
      <c r="Q34" s="18">
        <v>46351.75</v>
      </c>
      <c r="R34" s="18">
        <v>46353.75</v>
      </c>
      <c r="S34" s="17">
        <f>NETWORKDAYS(Q34,R34)</f>
        <v>3</v>
      </c>
      <c r="T34" s="18" t="s">
        <v>37</v>
      </c>
      <c r="U34" s="18" t="s">
        <v>37</v>
      </c>
      <c r="V34" s="17" t="s">
        <v>102</v>
      </c>
      <c r="W34" s="19">
        <v>0</v>
      </c>
      <c r="X34" s="17" t="str">
        <f>IF(OR(V34="Completada",V34="No aplica"),"VERDE",IF(V34="Bloqueada","ROJO",IF(R34&lt;TODAY(),"ROJO",IF(AND(R34-TODAY()&lt;=7,W34&lt;1),"AMARILLO","GRIS"))))</f>
        <v>GRIS</v>
      </c>
      <c r="Y34" s="17" t="s">
        <v>37</v>
      </c>
    </row>
    <row r="35" ht="46" customHeight="1" spans="1:25" x14ac:dyDescent="0.25">
      <c r="A35" s="20" t="s">
        <v>305</v>
      </c>
      <c r="B35" s="20" t="s">
        <v>226</v>
      </c>
      <c r="C35" s="20" t="s">
        <v>41</v>
      </c>
      <c r="D35" s="20" t="s">
        <v>306</v>
      </c>
      <c r="E35" s="20" t="s">
        <v>307</v>
      </c>
      <c r="F35" s="20" t="s">
        <v>308</v>
      </c>
      <c r="G35" s="20" t="s">
        <v>309</v>
      </c>
      <c r="H35" s="20" t="s">
        <v>310</v>
      </c>
      <c r="I35" s="20" t="s">
        <v>96</v>
      </c>
      <c r="J35" s="20" t="s">
        <v>97</v>
      </c>
      <c r="K35" s="20" t="s">
        <v>296</v>
      </c>
      <c r="L35" s="20" t="s">
        <v>297</v>
      </c>
      <c r="M35" s="20" t="s">
        <v>298</v>
      </c>
      <c r="N35" s="20" t="s">
        <v>311</v>
      </c>
      <c r="O35" s="20" t="s">
        <v>117</v>
      </c>
      <c r="P35" s="20">
        <v>1</v>
      </c>
      <c r="Q35" s="21">
        <v>46356.75</v>
      </c>
      <c r="R35" s="21">
        <v>46358.75</v>
      </c>
      <c r="S35" s="20">
        <f>NETWORKDAYS(Q35,R35)</f>
        <v>3</v>
      </c>
      <c r="T35" s="21" t="s">
        <v>37</v>
      </c>
      <c r="U35" s="21" t="s">
        <v>37</v>
      </c>
      <c r="V35" s="20" t="s">
        <v>102</v>
      </c>
      <c r="W35" s="22">
        <v>0</v>
      </c>
      <c r="X35" s="20" t="str">
        <f>IF(OR(V35="Completada",V35="No aplica"),"VERDE",IF(V35="Bloqueada","ROJO",IF(R35&lt;TODAY(),"ROJO",IF(AND(R35-TODAY()&lt;=7,W35&lt;1),"AMARILLO","GRIS"))))</f>
        <v>GRIS</v>
      </c>
      <c r="Y35" s="20" t="s">
        <v>37</v>
      </c>
    </row>
    <row r="36" ht="46" customHeight="1" spans="1:25" x14ac:dyDescent="0.25">
      <c r="A36" s="17" t="s">
        <v>312</v>
      </c>
      <c r="B36" s="17" t="s">
        <v>226</v>
      </c>
      <c r="C36" s="17" t="s">
        <v>41</v>
      </c>
      <c r="D36" s="17" t="s">
        <v>313</v>
      </c>
      <c r="E36" s="17" t="s">
        <v>314</v>
      </c>
      <c r="F36" s="17" t="s">
        <v>315</v>
      </c>
      <c r="G36" s="17" t="s">
        <v>316</v>
      </c>
      <c r="H36" s="17" t="s">
        <v>317</v>
      </c>
      <c r="I36" s="17" t="s">
        <v>96</v>
      </c>
      <c r="J36" s="17" t="s">
        <v>97</v>
      </c>
      <c r="K36" s="17" t="s">
        <v>296</v>
      </c>
      <c r="L36" s="17" t="s">
        <v>297</v>
      </c>
      <c r="M36" s="17" t="s">
        <v>305</v>
      </c>
      <c r="N36" s="17" t="s">
        <v>318</v>
      </c>
      <c r="O36" s="17" t="s">
        <v>117</v>
      </c>
      <c r="P36" s="17">
        <v>1</v>
      </c>
      <c r="Q36" s="18">
        <v>46359.75</v>
      </c>
      <c r="R36" s="18">
        <v>46364.75</v>
      </c>
      <c r="S36" s="17">
        <f>NETWORKDAYS(Q36,R36)</f>
        <v>4</v>
      </c>
      <c r="T36" s="18" t="s">
        <v>37</v>
      </c>
      <c r="U36" s="18" t="s">
        <v>37</v>
      </c>
      <c r="V36" s="17" t="s">
        <v>102</v>
      </c>
      <c r="W36" s="19">
        <v>0</v>
      </c>
      <c r="X36" s="17" t="str">
        <f>IF(OR(V36="Completada",V36="No aplica"),"VERDE",IF(V36="Bloqueada","ROJO",IF(R36&lt;TODAY(),"ROJO",IF(AND(R36-TODAY()&lt;=7,W36&lt;1),"AMARILLO","GRIS"))))</f>
        <v>GRIS</v>
      </c>
      <c r="Y36" s="17" t="s">
        <v>37</v>
      </c>
    </row>
    <row r="37" ht="46" customHeight="1" spans="1:25" x14ac:dyDescent="0.25">
      <c r="A37" s="20" t="s">
        <v>319</v>
      </c>
      <c r="B37" s="20" t="s">
        <v>226</v>
      </c>
      <c r="C37" s="20" t="s">
        <v>41</v>
      </c>
      <c r="D37" s="20" t="s">
        <v>320</v>
      </c>
      <c r="E37" s="20" t="s">
        <v>321</v>
      </c>
      <c r="F37" s="20" t="s">
        <v>322</v>
      </c>
      <c r="G37" s="20" t="s">
        <v>323</v>
      </c>
      <c r="H37" s="20" t="s">
        <v>324</v>
      </c>
      <c r="I37" s="20" t="s">
        <v>96</v>
      </c>
      <c r="J37" s="20" t="s">
        <v>97</v>
      </c>
      <c r="K37" s="20" t="s">
        <v>296</v>
      </c>
      <c r="L37" s="20" t="s">
        <v>297</v>
      </c>
      <c r="M37" s="20" t="s">
        <v>312</v>
      </c>
      <c r="N37" s="20" t="s">
        <v>325</v>
      </c>
      <c r="O37" s="20" t="s">
        <v>117</v>
      </c>
      <c r="P37" s="20">
        <v>1</v>
      </c>
      <c r="Q37" s="21">
        <v>46365.75</v>
      </c>
      <c r="R37" s="21">
        <v>46367.75</v>
      </c>
      <c r="S37" s="20">
        <f>NETWORKDAYS(Q37,R37)</f>
        <v>3</v>
      </c>
      <c r="T37" s="21" t="s">
        <v>37</v>
      </c>
      <c r="U37" s="21" t="s">
        <v>37</v>
      </c>
      <c r="V37" s="20" t="s">
        <v>102</v>
      </c>
      <c r="W37" s="22">
        <v>0</v>
      </c>
      <c r="X37" s="20" t="str">
        <f>IF(OR(V37="Completada",V37="No aplica"),"VERDE",IF(V37="Bloqueada","ROJO",IF(R37&lt;TODAY(),"ROJO",IF(AND(R37-TODAY()&lt;=7,W37&lt;1),"AMARILLO","GRIS"))))</f>
        <v>GRIS</v>
      </c>
      <c r="Y37" s="20" t="s">
        <v>37</v>
      </c>
    </row>
    <row r="38" ht="46" customHeight="1" spans="1:25" x14ac:dyDescent="0.25">
      <c r="A38" s="17" t="s">
        <v>326</v>
      </c>
      <c r="B38" s="17" t="s">
        <v>226</v>
      </c>
      <c r="C38" s="17" t="s">
        <v>41</v>
      </c>
      <c r="D38" s="17" t="s">
        <v>327</v>
      </c>
      <c r="E38" s="17" t="s">
        <v>328</v>
      </c>
      <c r="F38" s="17" t="s">
        <v>329</v>
      </c>
      <c r="G38" s="17" t="s">
        <v>330</v>
      </c>
      <c r="H38" s="17" t="s">
        <v>331</v>
      </c>
      <c r="I38" s="17" t="s">
        <v>96</v>
      </c>
      <c r="J38" s="17" t="s">
        <v>97</v>
      </c>
      <c r="K38" s="17" t="s">
        <v>296</v>
      </c>
      <c r="L38" s="17" t="s">
        <v>297</v>
      </c>
      <c r="M38" s="17" t="s">
        <v>319</v>
      </c>
      <c r="N38" s="17" t="s">
        <v>332</v>
      </c>
      <c r="O38" s="17" t="s">
        <v>117</v>
      </c>
      <c r="P38" s="17">
        <v>1</v>
      </c>
      <c r="Q38" s="18">
        <v>46370.75</v>
      </c>
      <c r="R38" s="18">
        <v>46372.75</v>
      </c>
      <c r="S38" s="17">
        <f>NETWORKDAYS(Q38,R38)</f>
        <v>3</v>
      </c>
      <c r="T38" s="18" t="s">
        <v>37</v>
      </c>
      <c r="U38" s="18" t="s">
        <v>37</v>
      </c>
      <c r="V38" s="17" t="s">
        <v>102</v>
      </c>
      <c r="W38" s="19">
        <v>0</v>
      </c>
      <c r="X38" s="17" t="str">
        <f>IF(OR(V38="Completada",V38="No aplica"),"VERDE",IF(V38="Bloqueada","ROJO",IF(R38&lt;TODAY(),"ROJO",IF(AND(R38-TODAY()&lt;=7,W38&lt;1),"AMARILLO","GRIS"))))</f>
        <v>GRIS</v>
      </c>
      <c r="Y38" s="17" t="s">
        <v>37</v>
      </c>
    </row>
    <row r="39" ht="46" customHeight="1" spans="1:25" x14ac:dyDescent="0.25">
      <c r="A39" s="20" t="s">
        <v>333</v>
      </c>
      <c r="B39" s="20" t="s">
        <v>226</v>
      </c>
      <c r="C39" s="20" t="s">
        <v>41</v>
      </c>
      <c r="D39" s="20" t="s">
        <v>334</v>
      </c>
      <c r="E39" s="20" t="s">
        <v>335</v>
      </c>
      <c r="F39" s="20" t="s">
        <v>336</v>
      </c>
      <c r="G39" s="20" t="s">
        <v>337</v>
      </c>
      <c r="H39" s="20" t="s">
        <v>338</v>
      </c>
      <c r="I39" s="20" t="s">
        <v>96</v>
      </c>
      <c r="J39" s="20" t="s">
        <v>97</v>
      </c>
      <c r="K39" s="20" t="s">
        <v>296</v>
      </c>
      <c r="L39" s="20" t="s">
        <v>297</v>
      </c>
      <c r="M39" s="20" t="s">
        <v>326</v>
      </c>
      <c r="N39" s="20" t="s">
        <v>339</v>
      </c>
      <c r="O39" s="20" t="s">
        <v>117</v>
      </c>
      <c r="P39" s="20">
        <v>1</v>
      </c>
      <c r="Q39" s="21">
        <v>46373.75</v>
      </c>
      <c r="R39" s="21">
        <v>46378.75</v>
      </c>
      <c r="S39" s="20">
        <f>NETWORKDAYS(Q39,R39)</f>
        <v>4</v>
      </c>
      <c r="T39" s="21" t="s">
        <v>37</v>
      </c>
      <c r="U39" s="21" t="s">
        <v>37</v>
      </c>
      <c r="V39" s="20" t="s">
        <v>102</v>
      </c>
      <c r="W39" s="22">
        <v>0</v>
      </c>
      <c r="X39" s="20" t="str">
        <f>IF(OR(V39="Completada",V39="No aplica"),"VERDE",IF(V39="Bloqueada","ROJO",IF(R39&lt;TODAY(),"ROJO",IF(AND(R39-TODAY()&lt;=7,W39&lt;1),"AMARILLO","GRIS"))))</f>
        <v>GRIS</v>
      </c>
      <c r="Y39" s="20" t="s">
        <v>37</v>
      </c>
    </row>
    <row r="40" ht="46" customHeight="1" spans="1:25" x14ac:dyDescent="0.25">
      <c r="A40" s="17" t="s">
        <v>340</v>
      </c>
      <c r="B40" s="17" t="s">
        <v>226</v>
      </c>
      <c r="C40" s="17" t="s">
        <v>41</v>
      </c>
      <c r="D40" s="17" t="s">
        <v>341</v>
      </c>
      <c r="E40" s="17" t="s">
        <v>342</v>
      </c>
      <c r="F40" s="17" t="s">
        <v>343</v>
      </c>
      <c r="G40" s="17" t="s">
        <v>344</v>
      </c>
      <c r="H40" s="17" t="s">
        <v>345</v>
      </c>
      <c r="I40" s="17" t="s">
        <v>96</v>
      </c>
      <c r="J40" s="17" t="s">
        <v>97</v>
      </c>
      <c r="K40" s="17" t="s">
        <v>296</v>
      </c>
      <c r="L40" s="17" t="s">
        <v>297</v>
      </c>
      <c r="M40" s="17" t="s">
        <v>333</v>
      </c>
      <c r="N40" s="17" t="s">
        <v>346</v>
      </c>
      <c r="O40" s="17" t="s">
        <v>117</v>
      </c>
      <c r="P40" s="17">
        <v>1</v>
      </c>
      <c r="Q40" s="18">
        <v>46379.75</v>
      </c>
      <c r="R40" s="18">
        <v>46381.75</v>
      </c>
      <c r="S40" s="17">
        <f>NETWORKDAYS(Q40,R40)</f>
        <v>3</v>
      </c>
      <c r="T40" s="18" t="s">
        <v>37</v>
      </c>
      <c r="U40" s="18" t="s">
        <v>37</v>
      </c>
      <c r="V40" s="17" t="s">
        <v>102</v>
      </c>
      <c r="W40" s="19">
        <v>0</v>
      </c>
      <c r="X40" s="17" t="str">
        <f>IF(OR(V40="Completada",V40="No aplica"),"VERDE",IF(V40="Bloqueada","ROJO",IF(R40&lt;TODAY(),"ROJO",IF(AND(R40-TODAY()&lt;=7,W40&lt;1),"AMARILLO","GRIS"))))</f>
        <v>GRIS</v>
      </c>
      <c r="Y40" s="17" t="s">
        <v>37</v>
      </c>
    </row>
    <row r="41" ht="46" customHeight="1" spans="1:25" x14ac:dyDescent="0.25">
      <c r="A41" s="20" t="s">
        <v>347</v>
      </c>
      <c r="B41" s="20" t="s">
        <v>226</v>
      </c>
      <c r="C41" s="20" t="s">
        <v>41</v>
      </c>
      <c r="D41" s="20" t="s">
        <v>348</v>
      </c>
      <c r="E41" s="20" t="s">
        <v>349</v>
      </c>
      <c r="F41" s="20" t="s">
        <v>350</v>
      </c>
      <c r="G41" s="20" t="s">
        <v>351</v>
      </c>
      <c r="H41" s="20" t="s">
        <v>352</v>
      </c>
      <c r="I41" s="20" t="s">
        <v>96</v>
      </c>
      <c r="J41" s="20" t="s">
        <v>97</v>
      </c>
      <c r="K41" s="20" t="s">
        <v>296</v>
      </c>
      <c r="L41" s="20" t="s">
        <v>297</v>
      </c>
      <c r="M41" s="20" t="s">
        <v>340</v>
      </c>
      <c r="N41" s="20" t="s">
        <v>353</v>
      </c>
      <c r="O41" s="20" t="s">
        <v>117</v>
      </c>
      <c r="P41" s="20">
        <v>1</v>
      </c>
      <c r="Q41" s="21">
        <v>46384.75</v>
      </c>
      <c r="R41" s="21">
        <v>46386.75</v>
      </c>
      <c r="S41" s="20">
        <f>NETWORKDAYS(Q41,R41)</f>
        <v>3</v>
      </c>
      <c r="T41" s="21" t="s">
        <v>37</v>
      </c>
      <c r="U41" s="21" t="s">
        <v>37</v>
      </c>
      <c r="V41" s="20" t="s">
        <v>102</v>
      </c>
      <c r="W41" s="22">
        <v>0</v>
      </c>
      <c r="X41" s="20" t="str">
        <f>IF(OR(V41="Completada",V41="No aplica"),"VERDE",IF(V41="Bloqueada","ROJO",IF(R41&lt;TODAY(),"ROJO",IF(AND(R41-TODAY()&lt;=7,W41&lt;1),"AMARILLO","GRIS"))))</f>
        <v>GRIS</v>
      </c>
      <c r="Y41" s="20" t="s">
        <v>37</v>
      </c>
    </row>
    <row r="42" ht="46" customHeight="1" spans="1:25" x14ac:dyDescent="0.25">
      <c r="A42" s="17" t="s">
        <v>354</v>
      </c>
      <c r="B42" s="17" t="s">
        <v>226</v>
      </c>
      <c r="C42" s="17" t="s">
        <v>41</v>
      </c>
      <c r="D42" s="17" t="s">
        <v>355</v>
      </c>
      <c r="E42" s="17" t="s">
        <v>356</v>
      </c>
      <c r="F42" s="17" t="s">
        <v>357</v>
      </c>
      <c r="G42" s="17" t="s">
        <v>358</v>
      </c>
      <c r="H42" s="17" t="s">
        <v>359</v>
      </c>
      <c r="I42" s="17" t="s">
        <v>96</v>
      </c>
      <c r="J42" s="17" t="s">
        <v>97</v>
      </c>
      <c r="K42" s="17" t="s">
        <v>296</v>
      </c>
      <c r="L42" s="17" t="s">
        <v>297</v>
      </c>
      <c r="M42" s="17" t="s">
        <v>347</v>
      </c>
      <c r="N42" s="17" t="s">
        <v>360</v>
      </c>
      <c r="O42" s="17" t="s">
        <v>117</v>
      </c>
      <c r="P42" s="17">
        <v>1</v>
      </c>
      <c r="Q42" s="18">
        <v>46387.75</v>
      </c>
      <c r="R42" s="18">
        <v>46392.75</v>
      </c>
      <c r="S42" s="17">
        <f>NETWORKDAYS(Q42,R42)</f>
        <v>4</v>
      </c>
      <c r="T42" s="18" t="s">
        <v>37</v>
      </c>
      <c r="U42" s="18" t="s">
        <v>37</v>
      </c>
      <c r="V42" s="17" t="s">
        <v>102</v>
      </c>
      <c r="W42" s="19">
        <v>0</v>
      </c>
      <c r="X42" s="17" t="str">
        <f>IF(OR(V42="Completada",V42="No aplica"),"VERDE",IF(V42="Bloqueada","ROJO",IF(R42&lt;TODAY(),"ROJO",IF(AND(R42-TODAY()&lt;=7,W42&lt;1),"AMARILLO","GRIS"))))</f>
        <v>GRIS</v>
      </c>
      <c r="Y42" s="17" t="s">
        <v>37</v>
      </c>
    </row>
    <row r="43" ht="46" customHeight="1" spans="1:25" x14ac:dyDescent="0.25">
      <c r="A43" s="20" t="s">
        <v>361</v>
      </c>
      <c r="B43" s="20" t="s">
        <v>226</v>
      </c>
      <c r="C43" s="20" t="s">
        <v>41</v>
      </c>
      <c r="D43" s="20" t="s">
        <v>362</v>
      </c>
      <c r="E43" s="20" t="s">
        <v>363</v>
      </c>
      <c r="F43" s="20" t="s">
        <v>364</v>
      </c>
      <c r="G43" s="20" t="s">
        <v>365</v>
      </c>
      <c r="H43" s="20" t="s">
        <v>366</v>
      </c>
      <c r="I43" s="20" t="s">
        <v>96</v>
      </c>
      <c r="J43" s="20" t="s">
        <v>97</v>
      </c>
      <c r="K43" s="20" t="s">
        <v>296</v>
      </c>
      <c r="L43" s="20" t="s">
        <v>297</v>
      </c>
      <c r="M43" s="20" t="s">
        <v>354</v>
      </c>
      <c r="N43" s="20" t="s">
        <v>367</v>
      </c>
      <c r="O43" s="20" t="s">
        <v>117</v>
      </c>
      <c r="P43" s="20">
        <v>1</v>
      </c>
      <c r="Q43" s="21">
        <v>46393.75</v>
      </c>
      <c r="R43" s="21">
        <v>46395.75</v>
      </c>
      <c r="S43" s="20">
        <f>NETWORKDAYS(Q43,R43)</f>
        <v>3</v>
      </c>
      <c r="T43" s="21" t="s">
        <v>37</v>
      </c>
      <c r="U43" s="21" t="s">
        <v>37</v>
      </c>
      <c r="V43" s="20" t="s">
        <v>102</v>
      </c>
      <c r="W43" s="22">
        <v>0</v>
      </c>
      <c r="X43" s="20" t="str">
        <f>IF(OR(V43="Completada",V43="No aplica"),"VERDE",IF(V43="Bloqueada","ROJO",IF(R43&lt;TODAY(),"ROJO",IF(AND(R43-TODAY()&lt;=7,W43&lt;1),"AMARILLO","GRIS"))))</f>
        <v>GRIS</v>
      </c>
      <c r="Y43" s="20" t="s">
        <v>37</v>
      </c>
    </row>
    <row r="44" ht="46" customHeight="1" spans="1:25" x14ac:dyDescent="0.25">
      <c r="A44" s="17" t="s">
        <v>368</v>
      </c>
      <c r="B44" s="17" t="s">
        <v>226</v>
      </c>
      <c r="C44" s="17" t="s">
        <v>41</v>
      </c>
      <c r="D44" s="17" t="s">
        <v>369</v>
      </c>
      <c r="E44" s="17" t="s">
        <v>370</v>
      </c>
      <c r="F44" s="17" t="s">
        <v>371</v>
      </c>
      <c r="G44" s="17" t="s">
        <v>372</v>
      </c>
      <c r="H44" s="17" t="s">
        <v>373</v>
      </c>
      <c r="I44" s="17" t="s">
        <v>96</v>
      </c>
      <c r="J44" s="17" t="s">
        <v>97</v>
      </c>
      <c r="K44" s="17" t="s">
        <v>296</v>
      </c>
      <c r="L44" s="17" t="s">
        <v>297</v>
      </c>
      <c r="M44" s="17" t="s">
        <v>361</v>
      </c>
      <c r="N44" s="17" t="s">
        <v>374</v>
      </c>
      <c r="O44" s="17" t="s">
        <v>117</v>
      </c>
      <c r="P44" s="17">
        <v>1</v>
      </c>
      <c r="Q44" s="18">
        <v>46398.75</v>
      </c>
      <c r="R44" s="18">
        <v>46400.75</v>
      </c>
      <c r="S44" s="17">
        <f>NETWORKDAYS(Q44,R44)</f>
        <v>3</v>
      </c>
      <c r="T44" s="18" t="s">
        <v>37</v>
      </c>
      <c r="U44" s="18" t="s">
        <v>37</v>
      </c>
      <c r="V44" s="17" t="s">
        <v>102</v>
      </c>
      <c r="W44" s="19">
        <v>0</v>
      </c>
      <c r="X44" s="17" t="str">
        <f>IF(OR(V44="Completada",V44="No aplica"),"VERDE",IF(V44="Bloqueada","ROJO",IF(R44&lt;TODAY(),"ROJO",IF(AND(R44-TODAY()&lt;=7,W44&lt;1),"AMARILLO","GRIS"))))</f>
        <v>GRIS</v>
      </c>
      <c r="Y44" s="17" t="s">
        <v>37</v>
      </c>
    </row>
    <row r="45" ht="46" customHeight="1" spans="1:25" x14ac:dyDescent="0.25">
      <c r="A45" s="20" t="s">
        <v>375</v>
      </c>
      <c r="B45" s="20" t="s">
        <v>226</v>
      </c>
      <c r="C45" s="20" t="s">
        <v>41</v>
      </c>
      <c r="D45" s="20" t="s">
        <v>376</v>
      </c>
      <c r="E45" s="20" t="s">
        <v>377</v>
      </c>
      <c r="F45" s="20" t="s">
        <v>378</v>
      </c>
      <c r="G45" s="20" t="s">
        <v>379</v>
      </c>
      <c r="H45" s="20" t="s">
        <v>380</v>
      </c>
      <c r="I45" s="20" t="s">
        <v>96</v>
      </c>
      <c r="J45" s="20" t="s">
        <v>97</v>
      </c>
      <c r="K45" s="20" t="s">
        <v>296</v>
      </c>
      <c r="L45" s="20" t="s">
        <v>297</v>
      </c>
      <c r="M45" s="20" t="s">
        <v>368</v>
      </c>
      <c r="N45" s="20" t="s">
        <v>381</v>
      </c>
      <c r="O45" s="20" t="s">
        <v>117</v>
      </c>
      <c r="P45" s="20">
        <v>1</v>
      </c>
      <c r="Q45" s="21">
        <v>46401.75</v>
      </c>
      <c r="R45" s="21">
        <v>46406.75</v>
      </c>
      <c r="S45" s="20">
        <f>NETWORKDAYS(Q45,R45)</f>
        <v>4</v>
      </c>
      <c r="T45" s="21" t="s">
        <v>37</v>
      </c>
      <c r="U45" s="21" t="s">
        <v>37</v>
      </c>
      <c r="V45" s="20" t="s">
        <v>102</v>
      </c>
      <c r="W45" s="22">
        <v>0</v>
      </c>
      <c r="X45" s="20" t="str">
        <f>IF(OR(V45="Completada",V45="No aplica"),"VERDE",IF(V45="Bloqueada","ROJO",IF(R45&lt;TODAY(),"ROJO",IF(AND(R45-TODAY()&lt;=7,W45&lt;1),"AMARILLO","GRIS"))))</f>
        <v>GRIS</v>
      </c>
      <c r="Y45" s="20" t="s">
        <v>37</v>
      </c>
    </row>
    <row r="46" ht="46" customHeight="1" spans="1:25" x14ac:dyDescent="0.25">
      <c r="A46" s="17" t="s">
        <v>382</v>
      </c>
      <c r="B46" s="17" t="s">
        <v>226</v>
      </c>
      <c r="C46" s="17" t="s">
        <v>42</v>
      </c>
      <c r="D46" s="17" t="s">
        <v>383</v>
      </c>
      <c r="E46" s="17" t="s">
        <v>384</v>
      </c>
      <c r="F46" s="17" t="s">
        <v>385</v>
      </c>
      <c r="G46" s="17" t="s">
        <v>386</v>
      </c>
      <c r="H46" s="17" t="s">
        <v>387</v>
      </c>
      <c r="I46" s="17" t="s">
        <v>96</v>
      </c>
      <c r="J46" s="17" t="s">
        <v>97</v>
      </c>
      <c r="K46" s="17" t="s">
        <v>388</v>
      </c>
      <c r="L46" s="17" t="s">
        <v>389</v>
      </c>
      <c r="M46" s="17" t="s">
        <v>37</v>
      </c>
      <c r="N46" s="17" t="s">
        <v>100</v>
      </c>
      <c r="O46" s="17" t="s">
        <v>101</v>
      </c>
      <c r="P46" s="17">
        <v>2</v>
      </c>
      <c r="Q46" s="18">
        <v>46346.75</v>
      </c>
      <c r="R46" s="18">
        <v>46351.75</v>
      </c>
      <c r="S46" s="17">
        <f>NETWORKDAYS(Q46,R46)</f>
        <v>4</v>
      </c>
      <c r="T46" s="18" t="s">
        <v>37</v>
      </c>
      <c r="U46" s="18" t="s">
        <v>37</v>
      </c>
      <c r="V46" s="17" t="s">
        <v>102</v>
      </c>
      <c r="W46" s="19">
        <v>0</v>
      </c>
      <c r="X46" s="17" t="str">
        <f>IF(OR(V46="Completada",V46="No aplica"),"VERDE",IF(V46="Bloqueada","ROJO",IF(R46&lt;TODAY(),"ROJO",IF(AND(R46-TODAY()&lt;=7,W46&lt;1),"AMARILLO","GRIS"))))</f>
        <v>GRIS</v>
      </c>
      <c r="Y46" s="17" t="s">
        <v>37</v>
      </c>
    </row>
    <row r="47" ht="46" customHeight="1" spans="1:25" x14ac:dyDescent="0.25">
      <c r="A47" s="20" t="s">
        <v>390</v>
      </c>
      <c r="B47" s="20" t="s">
        <v>226</v>
      </c>
      <c r="C47" s="20" t="s">
        <v>42</v>
      </c>
      <c r="D47" s="20" t="s">
        <v>391</v>
      </c>
      <c r="E47" s="20" t="s">
        <v>392</v>
      </c>
      <c r="F47" s="20" t="s">
        <v>393</v>
      </c>
      <c r="G47" s="20" t="s">
        <v>394</v>
      </c>
      <c r="H47" s="20" t="s">
        <v>395</v>
      </c>
      <c r="I47" s="20" t="s">
        <v>96</v>
      </c>
      <c r="J47" s="20" t="s">
        <v>97</v>
      </c>
      <c r="K47" s="20" t="s">
        <v>388</v>
      </c>
      <c r="L47" s="20" t="s">
        <v>389</v>
      </c>
      <c r="M47" s="20" t="s">
        <v>382</v>
      </c>
      <c r="N47" s="20" t="s">
        <v>396</v>
      </c>
      <c r="O47" s="20" t="s">
        <v>101</v>
      </c>
      <c r="P47" s="20">
        <v>2</v>
      </c>
      <c r="Q47" s="21">
        <v>46352.75</v>
      </c>
      <c r="R47" s="21">
        <v>46356.75</v>
      </c>
      <c r="S47" s="20">
        <f>NETWORKDAYS(Q47,R47)</f>
        <v>3</v>
      </c>
      <c r="T47" s="21" t="s">
        <v>37</v>
      </c>
      <c r="U47" s="21" t="s">
        <v>37</v>
      </c>
      <c r="V47" s="20" t="s">
        <v>102</v>
      </c>
      <c r="W47" s="22">
        <v>0</v>
      </c>
      <c r="X47" s="20" t="str">
        <f>IF(OR(V47="Completada",V47="No aplica"),"VERDE",IF(V47="Bloqueada","ROJO",IF(R47&lt;TODAY(),"ROJO",IF(AND(R47-TODAY()&lt;=7,W47&lt;1),"AMARILLO","GRIS"))))</f>
        <v>GRIS</v>
      </c>
      <c r="Y47" s="20" t="s">
        <v>37</v>
      </c>
    </row>
    <row r="48" ht="46" customHeight="1" spans="1:25" x14ac:dyDescent="0.25">
      <c r="A48" s="17" t="s">
        <v>397</v>
      </c>
      <c r="B48" s="17" t="s">
        <v>226</v>
      </c>
      <c r="C48" s="17" t="s">
        <v>42</v>
      </c>
      <c r="D48" s="17" t="s">
        <v>398</v>
      </c>
      <c r="E48" s="17" t="s">
        <v>399</v>
      </c>
      <c r="F48" s="17" t="s">
        <v>400</v>
      </c>
      <c r="G48" s="17" t="s">
        <v>401</v>
      </c>
      <c r="H48" s="17" t="s">
        <v>402</v>
      </c>
      <c r="I48" s="17" t="s">
        <v>96</v>
      </c>
      <c r="J48" s="17" t="s">
        <v>97</v>
      </c>
      <c r="K48" s="17" t="s">
        <v>388</v>
      </c>
      <c r="L48" s="17" t="s">
        <v>389</v>
      </c>
      <c r="M48" s="17" t="s">
        <v>390</v>
      </c>
      <c r="N48" s="17" t="s">
        <v>403</v>
      </c>
      <c r="O48" s="17" t="s">
        <v>101</v>
      </c>
      <c r="P48" s="17">
        <v>2</v>
      </c>
      <c r="Q48" s="18">
        <v>46357.75</v>
      </c>
      <c r="R48" s="18">
        <v>46359.75</v>
      </c>
      <c r="S48" s="17">
        <f>NETWORKDAYS(Q48,R48)</f>
        <v>3</v>
      </c>
      <c r="T48" s="18" t="s">
        <v>37</v>
      </c>
      <c r="U48" s="18" t="s">
        <v>37</v>
      </c>
      <c r="V48" s="17" t="s">
        <v>102</v>
      </c>
      <c r="W48" s="19">
        <v>0</v>
      </c>
      <c r="X48" s="17" t="str">
        <f>IF(OR(V48="Completada",V48="No aplica"),"VERDE",IF(V48="Bloqueada","ROJO",IF(R48&lt;TODAY(),"ROJO",IF(AND(R48-TODAY()&lt;=7,W48&lt;1),"AMARILLO","GRIS"))))</f>
        <v>GRIS</v>
      </c>
      <c r="Y48" s="17" t="s">
        <v>37</v>
      </c>
    </row>
    <row r="49" ht="46" customHeight="1" spans="1:25" x14ac:dyDescent="0.25">
      <c r="A49" s="20" t="s">
        <v>404</v>
      </c>
      <c r="B49" s="20" t="s">
        <v>226</v>
      </c>
      <c r="C49" s="20" t="s">
        <v>42</v>
      </c>
      <c r="D49" s="20" t="s">
        <v>405</v>
      </c>
      <c r="E49" s="20" t="s">
        <v>406</v>
      </c>
      <c r="F49" s="20" t="s">
        <v>407</v>
      </c>
      <c r="G49" s="20" t="s">
        <v>408</v>
      </c>
      <c r="H49" s="20" t="s">
        <v>409</v>
      </c>
      <c r="I49" s="20" t="s">
        <v>96</v>
      </c>
      <c r="J49" s="20" t="s">
        <v>97</v>
      </c>
      <c r="K49" s="20" t="s">
        <v>388</v>
      </c>
      <c r="L49" s="20" t="s">
        <v>389</v>
      </c>
      <c r="M49" s="20" t="s">
        <v>397</v>
      </c>
      <c r="N49" s="20" t="s">
        <v>410</v>
      </c>
      <c r="O49" s="20" t="s">
        <v>117</v>
      </c>
      <c r="P49" s="20">
        <v>1</v>
      </c>
      <c r="Q49" s="21">
        <v>46360.75</v>
      </c>
      <c r="R49" s="21">
        <v>46365.75</v>
      </c>
      <c r="S49" s="20">
        <f>NETWORKDAYS(Q49,R49)</f>
        <v>4</v>
      </c>
      <c r="T49" s="21" t="s">
        <v>37</v>
      </c>
      <c r="U49" s="21" t="s">
        <v>37</v>
      </c>
      <c r="V49" s="20" t="s">
        <v>102</v>
      </c>
      <c r="W49" s="22">
        <v>0</v>
      </c>
      <c r="X49" s="20" t="str">
        <f>IF(OR(V49="Completada",V49="No aplica"),"VERDE",IF(V49="Bloqueada","ROJO",IF(R49&lt;TODAY(),"ROJO",IF(AND(R49-TODAY()&lt;=7,W49&lt;1),"AMARILLO","GRIS"))))</f>
        <v>GRIS</v>
      </c>
      <c r="Y49" s="20" t="s">
        <v>37</v>
      </c>
    </row>
    <row r="50" ht="46" customHeight="1" spans="1:25" x14ac:dyDescent="0.25">
      <c r="A50" s="17" t="s">
        <v>411</v>
      </c>
      <c r="B50" s="17" t="s">
        <v>226</v>
      </c>
      <c r="C50" s="17" t="s">
        <v>42</v>
      </c>
      <c r="D50" s="17" t="s">
        <v>412</v>
      </c>
      <c r="E50" s="17" t="s">
        <v>413</v>
      </c>
      <c r="F50" s="17" t="s">
        <v>414</v>
      </c>
      <c r="G50" s="17" t="s">
        <v>415</v>
      </c>
      <c r="H50" s="17" t="s">
        <v>416</v>
      </c>
      <c r="I50" s="17" t="s">
        <v>96</v>
      </c>
      <c r="J50" s="17" t="s">
        <v>97</v>
      </c>
      <c r="K50" s="17" t="s">
        <v>388</v>
      </c>
      <c r="L50" s="17" t="s">
        <v>389</v>
      </c>
      <c r="M50" s="17" t="s">
        <v>404</v>
      </c>
      <c r="N50" s="17" t="s">
        <v>417</v>
      </c>
      <c r="O50" s="17" t="s">
        <v>117</v>
      </c>
      <c r="P50" s="17">
        <v>1</v>
      </c>
      <c r="Q50" s="18">
        <v>46366.75</v>
      </c>
      <c r="R50" s="18">
        <v>46370.75</v>
      </c>
      <c r="S50" s="17">
        <f>NETWORKDAYS(Q50,R50)</f>
        <v>3</v>
      </c>
      <c r="T50" s="18" t="s">
        <v>37</v>
      </c>
      <c r="U50" s="18" t="s">
        <v>37</v>
      </c>
      <c r="V50" s="17" t="s">
        <v>102</v>
      </c>
      <c r="W50" s="19">
        <v>0</v>
      </c>
      <c r="X50" s="17" t="str">
        <f>IF(OR(V50="Completada",V50="No aplica"),"VERDE",IF(V50="Bloqueada","ROJO",IF(R50&lt;TODAY(),"ROJO",IF(AND(R50-TODAY()&lt;=7,W50&lt;1),"AMARILLO","GRIS"))))</f>
        <v>GRIS</v>
      </c>
      <c r="Y50" s="17" t="s">
        <v>37</v>
      </c>
    </row>
    <row r="51" ht="46" customHeight="1" spans="1:25" x14ac:dyDescent="0.25">
      <c r="A51" s="20" t="s">
        <v>418</v>
      </c>
      <c r="B51" s="20" t="s">
        <v>226</v>
      </c>
      <c r="C51" s="20" t="s">
        <v>42</v>
      </c>
      <c r="D51" s="20" t="s">
        <v>419</v>
      </c>
      <c r="E51" s="20" t="s">
        <v>420</v>
      </c>
      <c r="F51" s="20" t="s">
        <v>421</v>
      </c>
      <c r="G51" s="20" t="s">
        <v>422</v>
      </c>
      <c r="H51" s="20" t="s">
        <v>423</v>
      </c>
      <c r="I51" s="20" t="s">
        <v>96</v>
      </c>
      <c r="J51" s="20" t="s">
        <v>97</v>
      </c>
      <c r="K51" s="20" t="s">
        <v>388</v>
      </c>
      <c r="L51" s="20" t="s">
        <v>389</v>
      </c>
      <c r="M51" s="20" t="s">
        <v>411</v>
      </c>
      <c r="N51" s="20" t="s">
        <v>424</v>
      </c>
      <c r="O51" s="20" t="s">
        <v>117</v>
      </c>
      <c r="P51" s="20">
        <v>1</v>
      </c>
      <c r="Q51" s="21">
        <v>46371.75</v>
      </c>
      <c r="R51" s="21">
        <v>46373.75</v>
      </c>
      <c r="S51" s="20">
        <f>NETWORKDAYS(Q51,R51)</f>
        <v>3</v>
      </c>
      <c r="T51" s="21" t="s">
        <v>37</v>
      </c>
      <c r="U51" s="21" t="s">
        <v>37</v>
      </c>
      <c r="V51" s="20" t="s">
        <v>102</v>
      </c>
      <c r="W51" s="22">
        <v>0</v>
      </c>
      <c r="X51" s="20" t="str">
        <f>IF(OR(V51="Completada",V51="No aplica"),"VERDE",IF(V51="Bloqueada","ROJO",IF(R51&lt;TODAY(),"ROJO",IF(AND(R51-TODAY()&lt;=7,W51&lt;1),"AMARILLO","GRIS"))))</f>
        <v>GRIS</v>
      </c>
      <c r="Y51" s="20" t="s">
        <v>37</v>
      </c>
    </row>
    <row r="52" ht="46" customHeight="1" spans="1:25" x14ac:dyDescent="0.25">
      <c r="A52" s="17" t="s">
        <v>425</v>
      </c>
      <c r="B52" s="17" t="s">
        <v>226</v>
      </c>
      <c r="C52" s="17" t="s">
        <v>42</v>
      </c>
      <c r="D52" s="17" t="s">
        <v>426</v>
      </c>
      <c r="E52" s="17" t="s">
        <v>427</v>
      </c>
      <c r="F52" s="17" t="s">
        <v>428</v>
      </c>
      <c r="G52" s="17" t="s">
        <v>429</v>
      </c>
      <c r="H52" s="17" t="s">
        <v>430</v>
      </c>
      <c r="I52" s="17" t="s">
        <v>96</v>
      </c>
      <c r="J52" s="17" t="s">
        <v>97</v>
      </c>
      <c r="K52" s="17" t="s">
        <v>388</v>
      </c>
      <c r="L52" s="17" t="s">
        <v>389</v>
      </c>
      <c r="M52" s="17" t="s">
        <v>418</v>
      </c>
      <c r="N52" s="17" t="s">
        <v>431</v>
      </c>
      <c r="O52" s="17" t="s">
        <v>117</v>
      </c>
      <c r="P52" s="17">
        <v>1</v>
      </c>
      <c r="Q52" s="18">
        <v>46374.75</v>
      </c>
      <c r="R52" s="18">
        <v>46379.75</v>
      </c>
      <c r="S52" s="17">
        <f>NETWORKDAYS(Q52,R52)</f>
        <v>4</v>
      </c>
      <c r="T52" s="18" t="s">
        <v>37</v>
      </c>
      <c r="U52" s="18" t="s">
        <v>37</v>
      </c>
      <c r="V52" s="17" t="s">
        <v>102</v>
      </c>
      <c r="W52" s="19">
        <v>0</v>
      </c>
      <c r="X52" s="17" t="str">
        <f>IF(OR(V52="Completada",V52="No aplica"),"VERDE",IF(V52="Bloqueada","ROJO",IF(R52&lt;TODAY(),"ROJO",IF(AND(R52-TODAY()&lt;=7,W52&lt;1),"AMARILLO","GRIS"))))</f>
        <v>GRIS</v>
      </c>
      <c r="Y52" s="17" t="s">
        <v>37</v>
      </c>
    </row>
    <row r="53" ht="46" customHeight="1" spans="1:25" x14ac:dyDescent="0.25">
      <c r="A53" s="20" t="s">
        <v>432</v>
      </c>
      <c r="B53" s="20" t="s">
        <v>226</v>
      </c>
      <c r="C53" s="20" t="s">
        <v>42</v>
      </c>
      <c r="D53" s="20" t="s">
        <v>433</v>
      </c>
      <c r="E53" s="20" t="s">
        <v>434</v>
      </c>
      <c r="F53" s="20" t="s">
        <v>435</v>
      </c>
      <c r="G53" s="20" t="s">
        <v>436</v>
      </c>
      <c r="H53" s="20" t="s">
        <v>437</v>
      </c>
      <c r="I53" s="20" t="s">
        <v>96</v>
      </c>
      <c r="J53" s="20" t="s">
        <v>97</v>
      </c>
      <c r="K53" s="20" t="s">
        <v>388</v>
      </c>
      <c r="L53" s="20" t="s">
        <v>389</v>
      </c>
      <c r="M53" s="20" t="s">
        <v>425</v>
      </c>
      <c r="N53" s="20" t="s">
        <v>438</v>
      </c>
      <c r="O53" s="20" t="s">
        <v>117</v>
      </c>
      <c r="P53" s="20">
        <v>1</v>
      </c>
      <c r="Q53" s="21">
        <v>46380.75</v>
      </c>
      <c r="R53" s="21">
        <v>46384.75</v>
      </c>
      <c r="S53" s="20">
        <f>NETWORKDAYS(Q53,R53)</f>
        <v>3</v>
      </c>
      <c r="T53" s="21" t="s">
        <v>37</v>
      </c>
      <c r="U53" s="21" t="s">
        <v>37</v>
      </c>
      <c r="V53" s="20" t="s">
        <v>102</v>
      </c>
      <c r="W53" s="22">
        <v>0</v>
      </c>
      <c r="X53" s="20" t="str">
        <f>IF(OR(V53="Completada",V53="No aplica"),"VERDE",IF(V53="Bloqueada","ROJO",IF(R53&lt;TODAY(),"ROJO",IF(AND(R53-TODAY()&lt;=7,W53&lt;1),"AMARILLO","GRIS"))))</f>
        <v>GRIS</v>
      </c>
      <c r="Y53" s="20" t="s">
        <v>37</v>
      </c>
    </row>
    <row r="54" ht="46" customHeight="1" spans="1:25" x14ac:dyDescent="0.25">
      <c r="A54" s="17" t="s">
        <v>439</v>
      </c>
      <c r="B54" s="17" t="s">
        <v>226</v>
      </c>
      <c r="C54" s="17" t="s">
        <v>42</v>
      </c>
      <c r="D54" s="17" t="s">
        <v>440</v>
      </c>
      <c r="E54" s="17" t="s">
        <v>441</v>
      </c>
      <c r="F54" s="17" t="s">
        <v>442</v>
      </c>
      <c r="G54" s="17" t="s">
        <v>443</v>
      </c>
      <c r="H54" s="17" t="s">
        <v>444</v>
      </c>
      <c r="I54" s="17" t="s">
        <v>96</v>
      </c>
      <c r="J54" s="17" t="s">
        <v>97</v>
      </c>
      <c r="K54" s="17" t="s">
        <v>388</v>
      </c>
      <c r="L54" s="17" t="s">
        <v>389</v>
      </c>
      <c r="M54" s="17" t="s">
        <v>432</v>
      </c>
      <c r="N54" s="17" t="s">
        <v>445</v>
      </c>
      <c r="O54" s="17" t="s">
        <v>117</v>
      </c>
      <c r="P54" s="17">
        <v>1</v>
      </c>
      <c r="Q54" s="18">
        <v>46385.75</v>
      </c>
      <c r="R54" s="18">
        <v>46387.75</v>
      </c>
      <c r="S54" s="17">
        <f>NETWORKDAYS(Q54,R54)</f>
        <v>3</v>
      </c>
      <c r="T54" s="18" t="s">
        <v>37</v>
      </c>
      <c r="U54" s="18" t="s">
        <v>37</v>
      </c>
      <c r="V54" s="17" t="s">
        <v>102</v>
      </c>
      <c r="W54" s="19">
        <v>0</v>
      </c>
      <c r="X54" s="17" t="str">
        <f>IF(OR(V54="Completada",V54="No aplica"),"VERDE",IF(V54="Bloqueada","ROJO",IF(R54&lt;TODAY(),"ROJO",IF(AND(R54-TODAY()&lt;=7,W54&lt;1),"AMARILLO","GRIS"))))</f>
        <v>GRIS</v>
      </c>
      <c r="Y54" s="17" t="s">
        <v>37</v>
      </c>
    </row>
    <row r="55" ht="46" customHeight="1" spans="1:25" x14ac:dyDescent="0.25">
      <c r="A55" s="20" t="s">
        <v>446</v>
      </c>
      <c r="B55" s="20" t="s">
        <v>226</v>
      </c>
      <c r="C55" s="20" t="s">
        <v>42</v>
      </c>
      <c r="D55" s="20" t="s">
        <v>447</v>
      </c>
      <c r="E55" s="20" t="s">
        <v>448</v>
      </c>
      <c r="F55" s="20" t="s">
        <v>449</v>
      </c>
      <c r="G55" s="20" t="s">
        <v>450</v>
      </c>
      <c r="H55" s="20" t="s">
        <v>451</v>
      </c>
      <c r="I55" s="20" t="s">
        <v>96</v>
      </c>
      <c r="J55" s="20" t="s">
        <v>97</v>
      </c>
      <c r="K55" s="20" t="s">
        <v>388</v>
      </c>
      <c r="L55" s="20" t="s">
        <v>389</v>
      </c>
      <c r="M55" s="20" t="s">
        <v>439</v>
      </c>
      <c r="N55" s="20" t="s">
        <v>452</v>
      </c>
      <c r="O55" s="20" t="s">
        <v>101</v>
      </c>
      <c r="P55" s="20">
        <v>2</v>
      </c>
      <c r="Q55" s="21">
        <v>46388.75</v>
      </c>
      <c r="R55" s="21">
        <v>46393.75</v>
      </c>
      <c r="S55" s="20">
        <f>NETWORKDAYS(Q55,R55)</f>
        <v>4</v>
      </c>
      <c r="T55" s="21" t="s">
        <v>37</v>
      </c>
      <c r="U55" s="21" t="s">
        <v>37</v>
      </c>
      <c r="V55" s="20" t="s">
        <v>102</v>
      </c>
      <c r="W55" s="22">
        <v>0</v>
      </c>
      <c r="X55" s="20" t="str">
        <f>IF(OR(V55="Completada",V55="No aplica"),"VERDE",IF(V55="Bloqueada","ROJO",IF(R55&lt;TODAY(),"ROJO",IF(AND(R55-TODAY()&lt;=7,W55&lt;1),"AMARILLO","GRIS"))))</f>
        <v>GRIS</v>
      </c>
      <c r="Y55" s="20" t="s">
        <v>37</v>
      </c>
    </row>
    <row r="56" ht="46" customHeight="1" spans="1:25" x14ac:dyDescent="0.25">
      <c r="A56" s="17" t="s">
        <v>453</v>
      </c>
      <c r="B56" s="17" t="s">
        <v>454</v>
      </c>
      <c r="C56" s="17" t="s">
        <v>43</v>
      </c>
      <c r="D56" s="17" t="s">
        <v>455</v>
      </c>
      <c r="E56" s="17" t="s">
        <v>456</v>
      </c>
      <c r="F56" s="17" t="s">
        <v>457</v>
      </c>
      <c r="G56" s="17" t="s">
        <v>458</v>
      </c>
      <c r="H56" s="17" t="s">
        <v>459</v>
      </c>
      <c r="I56" s="17" t="s">
        <v>96</v>
      </c>
      <c r="J56" s="17" t="s">
        <v>97</v>
      </c>
      <c r="K56" s="17" t="s">
        <v>296</v>
      </c>
      <c r="L56" s="17" t="s">
        <v>460</v>
      </c>
      <c r="M56" s="17" t="s">
        <v>37</v>
      </c>
      <c r="N56" s="17" t="s">
        <v>100</v>
      </c>
      <c r="O56" s="17" t="s">
        <v>101</v>
      </c>
      <c r="P56" s="17">
        <v>2</v>
      </c>
      <c r="Q56" s="18">
        <v>46363.75</v>
      </c>
      <c r="R56" s="18">
        <v>46366.75</v>
      </c>
      <c r="S56" s="17">
        <f>NETWORKDAYS(Q56,R56)</f>
        <v>4</v>
      </c>
      <c r="T56" s="18" t="s">
        <v>37</v>
      </c>
      <c r="U56" s="18" t="s">
        <v>37</v>
      </c>
      <c r="V56" s="17" t="s">
        <v>102</v>
      </c>
      <c r="W56" s="19">
        <v>0</v>
      </c>
      <c r="X56" s="17" t="str">
        <f>IF(OR(V56="Completada",V56="No aplica"),"VERDE",IF(V56="Bloqueada","ROJO",IF(R56&lt;TODAY(),"ROJO",IF(AND(R56-TODAY()&lt;=7,W56&lt;1),"AMARILLO","GRIS"))))</f>
        <v>GRIS</v>
      </c>
      <c r="Y56" s="17" t="s">
        <v>37</v>
      </c>
    </row>
    <row r="57" ht="46" customHeight="1" spans="1:25" x14ac:dyDescent="0.25">
      <c r="A57" s="20" t="s">
        <v>461</v>
      </c>
      <c r="B57" s="20" t="s">
        <v>454</v>
      </c>
      <c r="C57" s="20" t="s">
        <v>43</v>
      </c>
      <c r="D57" s="20" t="s">
        <v>462</v>
      </c>
      <c r="E57" s="20" t="s">
        <v>463</v>
      </c>
      <c r="F57" s="20" t="s">
        <v>464</v>
      </c>
      <c r="G57" s="20" t="s">
        <v>465</v>
      </c>
      <c r="H57" s="20" t="s">
        <v>466</v>
      </c>
      <c r="I57" s="20" t="s">
        <v>96</v>
      </c>
      <c r="J57" s="20" t="s">
        <v>97</v>
      </c>
      <c r="K57" s="20" t="s">
        <v>296</v>
      </c>
      <c r="L57" s="20" t="s">
        <v>460</v>
      </c>
      <c r="M57" s="20" t="s">
        <v>453</v>
      </c>
      <c r="N57" s="20" t="s">
        <v>467</v>
      </c>
      <c r="O57" s="20" t="s">
        <v>101</v>
      </c>
      <c r="P57" s="20">
        <v>2</v>
      </c>
      <c r="Q57" s="21">
        <v>46367.75</v>
      </c>
      <c r="R57" s="21">
        <v>46371.75</v>
      </c>
      <c r="S57" s="20">
        <f>NETWORKDAYS(Q57,R57)</f>
        <v>3</v>
      </c>
      <c r="T57" s="21" t="s">
        <v>37</v>
      </c>
      <c r="U57" s="21" t="s">
        <v>37</v>
      </c>
      <c r="V57" s="20" t="s">
        <v>102</v>
      </c>
      <c r="W57" s="22">
        <v>0</v>
      </c>
      <c r="X57" s="20" t="str">
        <f>IF(OR(V57="Completada",V57="No aplica"),"VERDE",IF(V57="Bloqueada","ROJO",IF(R57&lt;TODAY(),"ROJO",IF(AND(R57-TODAY()&lt;=7,W57&lt;1),"AMARILLO","GRIS"))))</f>
        <v>GRIS</v>
      </c>
      <c r="Y57" s="20" t="s">
        <v>37</v>
      </c>
    </row>
    <row r="58" ht="46" customHeight="1" spans="1:25" x14ac:dyDescent="0.25">
      <c r="A58" s="17" t="s">
        <v>468</v>
      </c>
      <c r="B58" s="17" t="s">
        <v>454</v>
      </c>
      <c r="C58" s="17" t="s">
        <v>43</v>
      </c>
      <c r="D58" s="17" t="s">
        <v>469</v>
      </c>
      <c r="E58" s="17" t="s">
        <v>470</v>
      </c>
      <c r="F58" s="17" t="s">
        <v>471</v>
      </c>
      <c r="G58" s="17" t="s">
        <v>472</v>
      </c>
      <c r="H58" s="17" t="s">
        <v>473</v>
      </c>
      <c r="I58" s="17" t="s">
        <v>96</v>
      </c>
      <c r="J58" s="17" t="s">
        <v>97</v>
      </c>
      <c r="K58" s="17" t="s">
        <v>296</v>
      </c>
      <c r="L58" s="17" t="s">
        <v>460</v>
      </c>
      <c r="M58" s="17" t="s">
        <v>461</v>
      </c>
      <c r="N58" s="17" t="s">
        <v>474</v>
      </c>
      <c r="O58" s="17" t="s">
        <v>117</v>
      </c>
      <c r="P58" s="17">
        <v>1</v>
      </c>
      <c r="Q58" s="18">
        <v>46372.75</v>
      </c>
      <c r="R58" s="18">
        <v>46374.75</v>
      </c>
      <c r="S58" s="17">
        <f>NETWORKDAYS(Q58,R58)</f>
        <v>3</v>
      </c>
      <c r="T58" s="18" t="s">
        <v>37</v>
      </c>
      <c r="U58" s="18" t="s">
        <v>37</v>
      </c>
      <c r="V58" s="17" t="s">
        <v>102</v>
      </c>
      <c r="W58" s="19">
        <v>0</v>
      </c>
      <c r="X58" s="17" t="str">
        <f>IF(OR(V58="Completada",V58="No aplica"),"VERDE",IF(V58="Bloqueada","ROJO",IF(R58&lt;TODAY(),"ROJO",IF(AND(R58-TODAY()&lt;=7,W58&lt;1),"AMARILLO","GRIS"))))</f>
        <v>GRIS</v>
      </c>
      <c r="Y58" s="17" t="s">
        <v>37</v>
      </c>
    </row>
    <row r="59" ht="46" customHeight="1" spans="1:25" x14ac:dyDescent="0.25">
      <c r="A59" s="20" t="s">
        <v>475</v>
      </c>
      <c r="B59" s="20" t="s">
        <v>454</v>
      </c>
      <c r="C59" s="20" t="s">
        <v>43</v>
      </c>
      <c r="D59" s="20" t="s">
        <v>476</v>
      </c>
      <c r="E59" s="20" t="s">
        <v>477</v>
      </c>
      <c r="F59" s="20" t="s">
        <v>478</v>
      </c>
      <c r="G59" s="20" t="s">
        <v>479</v>
      </c>
      <c r="H59" s="20" t="s">
        <v>480</v>
      </c>
      <c r="I59" s="20" t="s">
        <v>96</v>
      </c>
      <c r="J59" s="20" t="s">
        <v>97</v>
      </c>
      <c r="K59" s="20" t="s">
        <v>296</v>
      </c>
      <c r="L59" s="20" t="s">
        <v>460</v>
      </c>
      <c r="M59" s="20" t="s">
        <v>468</v>
      </c>
      <c r="N59" s="20" t="s">
        <v>481</v>
      </c>
      <c r="O59" s="20" t="s">
        <v>101</v>
      </c>
      <c r="P59" s="20">
        <v>2</v>
      </c>
      <c r="Q59" s="21">
        <v>46377.75</v>
      </c>
      <c r="R59" s="21">
        <v>46380.75</v>
      </c>
      <c r="S59" s="20">
        <f>NETWORKDAYS(Q59,R59)</f>
        <v>4</v>
      </c>
      <c r="T59" s="21" t="s">
        <v>37</v>
      </c>
      <c r="U59" s="21" t="s">
        <v>37</v>
      </c>
      <c r="V59" s="20" t="s">
        <v>102</v>
      </c>
      <c r="W59" s="22">
        <v>0</v>
      </c>
      <c r="X59" s="20" t="str">
        <f>IF(OR(V59="Completada",V59="No aplica"),"VERDE",IF(V59="Bloqueada","ROJO",IF(R59&lt;TODAY(),"ROJO",IF(AND(R59-TODAY()&lt;=7,W59&lt;1),"AMARILLO","GRIS"))))</f>
        <v>GRIS</v>
      </c>
      <c r="Y59" s="20" t="s">
        <v>37</v>
      </c>
    </row>
    <row r="60" ht="46" customHeight="1" spans="1:25" x14ac:dyDescent="0.25">
      <c r="A60" s="17" t="s">
        <v>482</v>
      </c>
      <c r="B60" s="17" t="s">
        <v>454</v>
      </c>
      <c r="C60" s="17" t="s">
        <v>43</v>
      </c>
      <c r="D60" s="17" t="s">
        <v>483</v>
      </c>
      <c r="E60" s="17" t="s">
        <v>484</v>
      </c>
      <c r="F60" s="17" t="s">
        <v>485</v>
      </c>
      <c r="G60" s="17" t="s">
        <v>486</v>
      </c>
      <c r="H60" s="17" t="s">
        <v>487</v>
      </c>
      <c r="I60" s="17" t="s">
        <v>96</v>
      </c>
      <c r="J60" s="17" t="s">
        <v>97</v>
      </c>
      <c r="K60" s="17" t="s">
        <v>296</v>
      </c>
      <c r="L60" s="17" t="s">
        <v>460</v>
      </c>
      <c r="M60" s="17" t="s">
        <v>475</v>
      </c>
      <c r="N60" s="17" t="s">
        <v>488</v>
      </c>
      <c r="O60" s="17" t="s">
        <v>117</v>
      </c>
      <c r="P60" s="17">
        <v>1</v>
      </c>
      <c r="Q60" s="18">
        <v>46381.75</v>
      </c>
      <c r="R60" s="18">
        <v>46385.75</v>
      </c>
      <c r="S60" s="17">
        <f>NETWORKDAYS(Q60,R60)</f>
        <v>3</v>
      </c>
      <c r="T60" s="18" t="s">
        <v>37</v>
      </c>
      <c r="U60" s="18" t="s">
        <v>37</v>
      </c>
      <c r="V60" s="17" t="s">
        <v>102</v>
      </c>
      <c r="W60" s="19">
        <v>0</v>
      </c>
      <c r="X60" s="17" t="str">
        <f>IF(OR(V60="Completada",V60="No aplica"),"VERDE",IF(V60="Bloqueada","ROJO",IF(R60&lt;TODAY(),"ROJO",IF(AND(R60-TODAY()&lt;=7,W60&lt;1),"AMARILLO","GRIS"))))</f>
        <v>GRIS</v>
      </c>
      <c r="Y60" s="17" t="s">
        <v>37</v>
      </c>
    </row>
    <row r="61" ht="46" customHeight="1" spans="1:25" x14ac:dyDescent="0.25">
      <c r="A61" s="20" t="s">
        <v>489</v>
      </c>
      <c r="B61" s="20" t="s">
        <v>454</v>
      </c>
      <c r="C61" s="20" t="s">
        <v>43</v>
      </c>
      <c r="D61" s="20" t="s">
        <v>490</v>
      </c>
      <c r="E61" s="20" t="s">
        <v>491</v>
      </c>
      <c r="F61" s="20" t="s">
        <v>492</v>
      </c>
      <c r="G61" s="20" t="s">
        <v>493</v>
      </c>
      <c r="H61" s="20" t="s">
        <v>494</v>
      </c>
      <c r="I61" s="20" t="s">
        <v>96</v>
      </c>
      <c r="J61" s="20" t="s">
        <v>97</v>
      </c>
      <c r="K61" s="20" t="s">
        <v>296</v>
      </c>
      <c r="L61" s="20" t="s">
        <v>460</v>
      </c>
      <c r="M61" s="20" t="s">
        <v>482</v>
      </c>
      <c r="N61" s="20" t="s">
        <v>495</v>
      </c>
      <c r="O61" s="20" t="s">
        <v>117</v>
      </c>
      <c r="P61" s="20">
        <v>1</v>
      </c>
      <c r="Q61" s="21">
        <v>46386.75</v>
      </c>
      <c r="R61" s="21">
        <v>46388.75</v>
      </c>
      <c r="S61" s="20">
        <f>NETWORKDAYS(Q61,R61)</f>
        <v>3</v>
      </c>
      <c r="T61" s="21" t="s">
        <v>37</v>
      </c>
      <c r="U61" s="21" t="s">
        <v>37</v>
      </c>
      <c r="V61" s="20" t="s">
        <v>102</v>
      </c>
      <c r="W61" s="22">
        <v>0</v>
      </c>
      <c r="X61" s="20" t="str">
        <f>IF(OR(V61="Completada",V61="No aplica"),"VERDE",IF(V61="Bloqueada","ROJO",IF(R61&lt;TODAY(),"ROJO",IF(AND(R61-TODAY()&lt;=7,W61&lt;1),"AMARILLO","GRIS"))))</f>
        <v>GRIS</v>
      </c>
      <c r="Y61" s="20" t="s">
        <v>37</v>
      </c>
    </row>
    <row r="62" ht="46" customHeight="1" spans="1:25" x14ac:dyDescent="0.25">
      <c r="A62" s="17" t="s">
        <v>496</v>
      </c>
      <c r="B62" s="17" t="s">
        <v>454</v>
      </c>
      <c r="C62" s="17" t="s">
        <v>43</v>
      </c>
      <c r="D62" s="17" t="s">
        <v>497</v>
      </c>
      <c r="E62" s="17" t="s">
        <v>498</v>
      </c>
      <c r="F62" s="17" t="s">
        <v>499</v>
      </c>
      <c r="G62" s="17" t="s">
        <v>500</v>
      </c>
      <c r="H62" s="17" t="s">
        <v>501</v>
      </c>
      <c r="I62" s="17" t="s">
        <v>96</v>
      </c>
      <c r="J62" s="17" t="s">
        <v>97</v>
      </c>
      <c r="K62" s="17" t="s">
        <v>296</v>
      </c>
      <c r="L62" s="17" t="s">
        <v>460</v>
      </c>
      <c r="M62" s="17" t="s">
        <v>489</v>
      </c>
      <c r="N62" s="17" t="s">
        <v>502</v>
      </c>
      <c r="O62" s="17" t="s">
        <v>117</v>
      </c>
      <c r="P62" s="17">
        <v>1</v>
      </c>
      <c r="Q62" s="18">
        <v>46391.75</v>
      </c>
      <c r="R62" s="18">
        <v>46394.75</v>
      </c>
      <c r="S62" s="17">
        <f>NETWORKDAYS(Q62,R62)</f>
        <v>4</v>
      </c>
      <c r="T62" s="18" t="s">
        <v>37</v>
      </c>
      <c r="U62" s="18" t="s">
        <v>37</v>
      </c>
      <c r="V62" s="17" t="s">
        <v>102</v>
      </c>
      <c r="W62" s="19">
        <v>0</v>
      </c>
      <c r="X62" s="17" t="str">
        <f>IF(OR(V62="Completada",V62="No aplica"),"VERDE",IF(V62="Bloqueada","ROJO",IF(R62&lt;TODAY(),"ROJO",IF(AND(R62-TODAY()&lt;=7,W62&lt;1),"AMARILLO","GRIS"))))</f>
        <v>GRIS</v>
      </c>
      <c r="Y62" s="17" t="s">
        <v>37</v>
      </c>
    </row>
    <row r="63" ht="46" customHeight="1" spans="1:25" x14ac:dyDescent="0.25">
      <c r="A63" s="20" t="s">
        <v>503</v>
      </c>
      <c r="B63" s="20" t="s">
        <v>454</v>
      </c>
      <c r="C63" s="20" t="s">
        <v>43</v>
      </c>
      <c r="D63" s="20" t="s">
        <v>504</v>
      </c>
      <c r="E63" s="20" t="s">
        <v>505</v>
      </c>
      <c r="F63" s="20" t="s">
        <v>506</v>
      </c>
      <c r="G63" s="20" t="s">
        <v>507</v>
      </c>
      <c r="H63" s="20" t="s">
        <v>508</v>
      </c>
      <c r="I63" s="20" t="s">
        <v>96</v>
      </c>
      <c r="J63" s="20" t="s">
        <v>97</v>
      </c>
      <c r="K63" s="20" t="s">
        <v>296</v>
      </c>
      <c r="L63" s="20" t="s">
        <v>460</v>
      </c>
      <c r="M63" s="20" t="s">
        <v>496</v>
      </c>
      <c r="N63" s="20" t="s">
        <v>509</v>
      </c>
      <c r="O63" s="20" t="s">
        <v>117</v>
      </c>
      <c r="P63" s="20">
        <v>1</v>
      </c>
      <c r="Q63" s="21">
        <v>46395.75</v>
      </c>
      <c r="R63" s="21">
        <v>46399.75</v>
      </c>
      <c r="S63" s="20">
        <f>NETWORKDAYS(Q63,R63)</f>
        <v>3</v>
      </c>
      <c r="T63" s="21" t="s">
        <v>37</v>
      </c>
      <c r="U63" s="21" t="s">
        <v>37</v>
      </c>
      <c r="V63" s="20" t="s">
        <v>102</v>
      </c>
      <c r="W63" s="22">
        <v>0</v>
      </c>
      <c r="X63" s="20" t="str">
        <f>IF(OR(V63="Completada",V63="No aplica"),"VERDE",IF(V63="Bloqueada","ROJO",IF(R63&lt;TODAY(),"ROJO",IF(AND(R63-TODAY()&lt;=7,W63&lt;1),"AMARILLO","GRIS"))))</f>
        <v>GRIS</v>
      </c>
      <c r="Y63" s="20" t="s">
        <v>37</v>
      </c>
    </row>
    <row r="64" ht="46" customHeight="1" spans="1:25" x14ac:dyDescent="0.25">
      <c r="A64" s="17" t="s">
        <v>510</v>
      </c>
      <c r="B64" s="17" t="s">
        <v>454</v>
      </c>
      <c r="C64" s="17" t="s">
        <v>43</v>
      </c>
      <c r="D64" s="17" t="s">
        <v>511</v>
      </c>
      <c r="E64" s="17" t="s">
        <v>512</v>
      </c>
      <c r="F64" s="17" t="s">
        <v>513</v>
      </c>
      <c r="G64" s="17" t="s">
        <v>514</v>
      </c>
      <c r="H64" s="17" t="s">
        <v>515</v>
      </c>
      <c r="I64" s="17" t="s">
        <v>96</v>
      </c>
      <c r="J64" s="17" t="s">
        <v>97</v>
      </c>
      <c r="K64" s="17" t="s">
        <v>296</v>
      </c>
      <c r="L64" s="17" t="s">
        <v>460</v>
      </c>
      <c r="M64" s="17" t="s">
        <v>503</v>
      </c>
      <c r="N64" s="17" t="s">
        <v>516</v>
      </c>
      <c r="O64" s="17" t="s">
        <v>117</v>
      </c>
      <c r="P64" s="17">
        <v>1</v>
      </c>
      <c r="Q64" s="18">
        <v>46400.75</v>
      </c>
      <c r="R64" s="18">
        <v>46402.75</v>
      </c>
      <c r="S64" s="17">
        <f>NETWORKDAYS(Q64,R64)</f>
        <v>3</v>
      </c>
      <c r="T64" s="18" t="s">
        <v>37</v>
      </c>
      <c r="U64" s="18" t="s">
        <v>37</v>
      </c>
      <c r="V64" s="17" t="s">
        <v>102</v>
      </c>
      <c r="W64" s="19">
        <v>0</v>
      </c>
      <c r="X64" s="17" t="str">
        <f>IF(OR(V64="Completada",V64="No aplica"),"VERDE",IF(V64="Bloqueada","ROJO",IF(R64&lt;TODAY(),"ROJO",IF(AND(R64-TODAY()&lt;=7,W64&lt;1),"AMARILLO","GRIS"))))</f>
        <v>GRIS</v>
      </c>
      <c r="Y64" s="17" t="s">
        <v>37</v>
      </c>
    </row>
    <row r="65" ht="46" customHeight="1" spans="1:25" x14ac:dyDescent="0.25">
      <c r="A65" s="20" t="s">
        <v>517</v>
      </c>
      <c r="B65" s="20" t="s">
        <v>454</v>
      </c>
      <c r="C65" s="20" t="s">
        <v>43</v>
      </c>
      <c r="D65" s="20" t="s">
        <v>518</v>
      </c>
      <c r="E65" s="20" t="s">
        <v>519</v>
      </c>
      <c r="F65" s="20" t="s">
        <v>520</v>
      </c>
      <c r="G65" s="20" t="s">
        <v>521</v>
      </c>
      <c r="H65" s="20" t="s">
        <v>522</v>
      </c>
      <c r="I65" s="20" t="s">
        <v>96</v>
      </c>
      <c r="J65" s="20" t="s">
        <v>97</v>
      </c>
      <c r="K65" s="20" t="s">
        <v>296</v>
      </c>
      <c r="L65" s="20" t="s">
        <v>460</v>
      </c>
      <c r="M65" s="20" t="s">
        <v>510</v>
      </c>
      <c r="N65" s="20" t="s">
        <v>523</v>
      </c>
      <c r="O65" s="20" t="s">
        <v>117</v>
      </c>
      <c r="P65" s="20">
        <v>1</v>
      </c>
      <c r="Q65" s="21">
        <v>46405.75</v>
      </c>
      <c r="R65" s="21">
        <v>46408.75</v>
      </c>
      <c r="S65" s="20">
        <f>NETWORKDAYS(Q65,R65)</f>
        <v>4</v>
      </c>
      <c r="T65" s="21" t="s">
        <v>37</v>
      </c>
      <c r="U65" s="21" t="s">
        <v>37</v>
      </c>
      <c r="V65" s="20" t="s">
        <v>102</v>
      </c>
      <c r="W65" s="22">
        <v>0</v>
      </c>
      <c r="X65" s="20" t="str">
        <f>IF(OR(V65="Completada",V65="No aplica"),"VERDE",IF(V65="Bloqueada","ROJO",IF(R65&lt;TODAY(),"ROJO",IF(AND(R65-TODAY()&lt;=7,W65&lt;1),"AMARILLO","GRIS"))))</f>
        <v>GRIS</v>
      </c>
      <c r="Y65" s="20" t="s">
        <v>37</v>
      </c>
    </row>
    <row r="66" ht="46" customHeight="1" spans="1:25" x14ac:dyDescent="0.25">
      <c r="A66" s="17" t="s">
        <v>524</v>
      </c>
      <c r="B66" s="17" t="s">
        <v>454</v>
      </c>
      <c r="C66" s="17" t="s">
        <v>43</v>
      </c>
      <c r="D66" s="17" t="s">
        <v>525</v>
      </c>
      <c r="E66" s="17" t="s">
        <v>526</v>
      </c>
      <c r="F66" s="17" t="s">
        <v>527</v>
      </c>
      <c r="G66" s="17" t="s">
        <v>528</v>
      </c>
      <c r="H66" s="17" t="s">
        <v>529</v>
      </c>
      <c r="I66" s="17" t="s">
        <v>96</v>
      </c>
      <c r="J66" s="17" t="s">
        <v>97</v>
      </c>
      <c r="K66" s="17" t="s">
        <v>296</v>
      </c>
      <c r="L66" s="17" t="s">
        <v>460</v>
      </c>
      <c r="M66" s="17" t="s">
        <v>517</v>
      </c>
      <c r="N66" s="17" t="s">
        <v>530</v>
      </c>
      <c r="O66" s="17" t="s">
        <v>117</v>
      </c>
      <c r="P66" s="17">
        <v>1</v>
      </c>
      <c r="Q66" s="18">
        <v>46409.75</v>
      </c>
      <c r="R66" s="18">
        <v>46413.75</v>
      </c>
      <c r="S66" s="17">
        <f>NETWORKDAYS(Q66,R66)</f>
        <v>3</v>
      </c>
      <c r="T66" s="18" t="s">
        <v>37</v>
      </c>
      <c r="U66" s="18" t="s">
        <v>37</v>
      </c>
      <c r="V66" s="17" t="s">
        <v>102</v>
      </c>
      <c r="W66" s="19">
        <v>0</v>
      </c>
      <c r="X66" s="17" t="str">
        <f>IF(OR(V66="Completada",V66="No aplica"),"VERDE",IF(V66="Bloqueada","ROJO",IF(R66&lt;TODAY(),"ROJO",IF(AND(R66-TODAY()&lt;=7,W66&lt;1),"AMARILLO","GRIS"))))</f>
        <v>GRIS</v>
      </c>
      <c r="Y66" s="17" t="s">
        <v>37</v>
      </c>
    </row>
    <row r="67" ht="46" customHeight="1" spans="1:25" x14ac:dyDescent="0.25">
      <c r="A67" s="20" t="s">
        <v>531</v>
      </c>
      <c r="B67" s="20" t="s">
        <v>454</v>
      </c>
      <c r="C67" s="20" t="s">
        <v>43</v>
      </c>
      <c r="D67" s="20" t="s">
        <v>532</v>
      </c>
      <c r="E67" s="20" t="s">
        <v>533</v>
      </c>
      <c r="F67" s="20" t="s">
        <v>534</v>
      </c>
      <c r="G67" s="20" t="s">
        <v>535</v>
      </c>
      <c r="H67" s="20" t="s">
        <v>536</v>
      </c>
      <c r="I67" s="20" t="s">
        <v>96</v>
      </c>
      <c r="J67" s="20" t="s">
        <v>97</v>
      </c>
      <c r="K67" s="20" t="s">
        <v>296</v>
      </c>
      <c r="L67" s="20" t="s">
        <v>460</v>
      </c>
      <c r="M67" s="20" t="s">
        <v>524</v>
      </c>
      <c r="N67" s="20" t="s">
        <v>537</v>
      </c>
      <c r="O67" s="20" t="s">
        <v>117</v>
      </c>
      <c r="P67" s="20">
        <v>1</v>
      </c>
      <c r="Q67" s="21">
        <v>46414.75</v>
      </c>
      <c r="R67" s="21">
        <v>46416.75</v>
      </c>
      <c r="S67" s="20">
        <f>NETWORKDAYS(Q67,R67)</f>
        <v>3</v>
      </c>
      <c r="T67" s="21" t="s">
        <v>37</v>
      </c>
      <c r="U67" s="21" t="s">
        <v>37</v>
      </c>
      <c r="V67" s="20" t="s">
        <v>102</v>
      </c>
      <c r="W67" s="22">
        <v>0</v>
      </c>
      <c r="X67" s="20" t="str">
        <f>IF(OR(V67="Completada",V67="No aplica"),"VERDE",IF(V67="Bloqueada","ROJO",IF(R67&lt;TODAY(),"ROJO",IF(AND(R67-TODAY()&lt;=7,W67&lt;1),"AMARILLO","GRIS"))))</f>
        <v>GRIS</v>
      </c>
      <c r="Y67" s="20" t="s">
        <v>37</v>
      </c>
    </row>
    <row r="68" ht="46" customHeight="1" spans="1:25" x14ac:dyDescent="0.25">
      <c r="A68" s="17" t="s">
        <v>538</v>
      </c>
      <c r="B68" s="17" t="s">
        <v>454</v>
      </c>
      <c r="C68" s="17" t="s">
        <v>43</v>
      </c>
      <c r="D68" s="17" t="s">
        <v>539</v>
      </c>
      <c r="E68" s="17" t="s">
        <v>540</v>
      </c>
      <c r="F68" s="17" t="s">
        <v>541</v>
      </c>
      <c r="G68" s="17" t="s">
        <v>542</v>
      </c>
      <c r="H68" s="17" t="s">
        <v>543</v>
      </c>
      <c r="I68" s="17" t="s">
        <v>96</v>
      </c>
      <c r="J68" s="17" t="s">
        <v>97</v>
      </c>
      <c r="K68" s="17" t="s">
        <v>296</v>
      </c>
      <c r="L68" s="17" t="s">
        <v>460</v>
      </c>
      <c r="M68" s="17" t="s">
        <v>531</v>
      </c>
      <c r="N68" s="17" t="s">
        <v>544</v>
      </c>
      <c r="O68" s="17" t="s">
        <v>117</v>
      </c>
      <c r="P68" s="17">
        <v>1</v>
      </c>
      <c r="Q68" s="18">
        <v>46419.75</v>
      </c>
      <c r="R68" s="18">
        <v>46422.75</v>
      </c>
      <c r="S68" s="17">
        <f>NETWORKDAYS(Q68,R68)</f>
        <v>4</v>
      </c>
      <c r="T68" s="18" t="s">
        <v>37</v>
      </c>
      <c r="U68" s="18" t="s">
        <v>37</v>
      </c>
      <c r="V68" s="17" t="s">
        <v>102</v>
      </c>
      <c r="W68" s="19">
        <v>0</v>
      </c>
      <c r="X68" s="17" t="str">
        <f>IF(OR(V68="Completada",V68="No aplica"),"VERDE",IF(V68="Bloqueada","ROJO",IF(R68&lt;TODAY(),"ROJO",IF(AND(R68-TODAY()&lt;=7,W68&lt;1),"AMARILLO","GRIS"))))</f>
        <v>GRIS</v>
      </c>
      <c r="Y68" s="17" t="s">
        <v>37</v>
      </c>
    </row>
    <row r="69" ht="46" customHeight="1" spans="1:25" x14ac:dyDescent="0.25">
      <c r="A69" s="20" t="s">
        <v>545</v>
      </c>
      <c r="B69" s="20" t="s">
        <v>454</v>
      </c>
      <c r="C69" s="20" t="s">
        <v>44</v>
      </c>
      <c r="D69" s="20" t="s">
        <v>546</v>
      </c>
      <c r="E69" s="20" t="s">
        <v>547</v>
      </c>
      <c r="F69" s="20" t="s">
        <v>548</v>
      </c>
      <c r="G69" s="20" t="s">
        <v>549</v>
      </c>
      <c r="H69" s="20" t="s">
        <v>550</v>
      </c>
      <c r="I69" s="20" t="s">
        <v>96</v>
      </c>
      <c r="J69" s="20" t="s">
        <v>97</v>
      </c>
      <c r="K69" s="20" t="s">
        <v>232</v>
      </c>
      <c r="L69" s="20" t="s">
        <v>44</v>
      </c>
      <c r="M69" s="20" t="s">
        <v>37</v>
      </c>
      <c r="N69" s="20" t="s">
        <v>100</v>
      </c>
      <c r="O69" s="20" t="s">
        <v>101</v>
      </c>
      <c r="P69" s="20">
        <v>2</v>
      </c>
      <c r="Q69" s="21">
        <v>46364.75</v>
      </c>
      <c r="R69" s="21">
        <v>46367.75</v>
      </c>
      <c r="S69" s="20">
        <f>NETWORKDAYS(Q69,R69)</f>
        <v>4</v>
      </c>
      <c r="T69" s="21" t="s">
        <v>37</v>
      </c>
      <c r="U69" s="21" t="s">
        <v>37</v>
      </c>
      <c r="V69" s="20" t="s">
        <v>102</v>
      </c>
      <c r="W69" s="22">
        <v>0</v>
      </c>
      <c r="X69" s="20" t="str">
        <f>IF(OR(V69="Completada",V69="No aplica"),"VERDE",IF(V69="Bloqueada","ROJO",IF(R69&lt;TODAY(),"ROJO",IF(AND(R69-TODAY()&lt;=7,W69&lt;1),"AMARILLO","GRIS"))))</f>
        <v>GRIS</v>
      </c>
      <c r="Y69" s="20" t="s">
        <v>37</v>
      </c>
    </row>
    <row r="70" ht="46" customHeight="1" spans="1:25" x14ac:dyDescent="0.25">
      <c r="A70" s="17" t="s">
        <v>551</v>
      </c>
      <c r="B70" s="17" t="s">
        <v>454</v>
      </c>
      <c r="C70" s="17" t="s">
        <v>44</v>
      </c>
      <c r="D70" s="17" t="s">
        <v>552</v>
      </c>
      <c r="E70" s="17" t="s">
        <v>553</v>
      </c>
      <c r="F70" s="17" t="s">
        <v>554</v>
      </c>
      <c r="G70" s="17" t="s">
        <v>555</v>
      </c>
      <c r="H70" s="17" t="s">
        <v>556</v>
      </c>
      <c r="I70" s="17" t="s">
        <v>96</v>
      </c>
      <c r="J70" s="17" t="s">
        <v>97</v>
      </c>
      <c r="K70" s="17" t="s">
        <v>232</v>
      </c>
      <c r="L70" s="17" t="s">
        <v>44</v>
      </c>
      <c r="M70" s="17" t="s">
        <v>545</v>
      </c>
      <c r="N70" s="17" t="s">
        <v>557</v>
      </c>
      <c r="O70" s="17" t="s">
        <v>101</v>
      </c>
      <c r="P70" s="17">
        <v>2</v>
      </c>
      <c r="Q70" s="18">
        <v>46370.75</v>
      </c>
      <c r="R70" s="18">
        <v>46372.75</v>
      </c>
      <c r="S70" s="17">
        <f>NETWORKDAYS(Q70,R70)</f>
        <v>3</v>
      </c>
      <c r="T70" s="18" t="s">
        <v>37</v>
      </c>
      <c r="U70" s="18" t="s">
        <v>37</v>
      </c>
      <c r="V70" s="17" t="s">
        <v>102</v>
      </c>
      <c r="W70" s="19">
        <v>0</v>
      </c>
      <c r="X70" s="17" t="str">
        <f>IF(OR(V70="Completada",V70="No aplica"),"VERDE",IF(V70="Bloqueada","ROJO",IF(R70&lt;TODAY(),"ROJO",IF(AND(R70-TODAY()&lt;=7,W70&lt;1),"AMARILLO","GRIS"))))</f>
        <v>GRIS</v>
      </c>
      <c r="Y70" s="17" t="s">
        <v>37</v>
      </c>
    </row>
    <row r="71" ht="46" customHeight="1" spans="1:25" x14ac:dyDescent="0.25">
      <c r="A71" s="20" t="s">
        <v>558</v>
      </c>
      <c r="B71" s="20" t="s">
        <v>454</v>
      </c>
      <c r="C71" s="20" t="s">
        <v>44</v>
      </c>
      <c r="D71" s="20" t="s">
        <v>559</v>
      </c>
      <c r="E71" s="20" t="s">
        <v>560</v>
      </c>
      <c r="F71" s="20" t="s">
        <v>561</v>
      </c>
      <c r="G71" s="20" t="s">
        <v>562</v>
      </c>
      <c r="H71" s="20" t="s">
        <v>563</v>
      </c>
      <c r="I71" s="20" t="s">
        <v>96</v>
      </c>
      <c r="J71" s="20" t="s">
        <v>97</v>
      </c>
      <c r="K71" s="20" t="s">
        <v>232</v>
      </c>
      <c r="L71" s="20" t="s">
        <v>44</v>
      </c>
      <c r="M71" s="20" t="s">
        <v>551</v>
      </c>
      <c r="N71" s="20" t="s">
        <v>564</v>
      </c>
      <c r="O71" s="20" t="s">
        <v>117</v>
      </c>
      <c r="P71" s="20">
        <v>1</v>
      </c>
      <c r="Q71" s="21">
        <v>46373.75</v>
      </c>
      <c r="R71" s="21">
        <v>46377.75</v>
      </c>
      <c r="S71" s="20">
        <f>NETWORKDAYS(Q71,R71)</f>
        <v>3</v>
      </c>
      <c r="T71" s="21" t="s">
        <v>37</v>
      </c>
      <c r="U71" s="21" t="s">
        <v>37</v>
      </c>
      <c r="V71" s="20" t="s">
        <v>102</v>
      </c>
      <c r="W71" s="22">
        <v>0</v>
      </c>
      <c r="X71" s="20" t="str">
        <f>IF(OR(V71="Completada",V71="No aplica"),"VERDE",IF(V71="Bloqueada","ROJO",IF(R71&lt;TODAY(),"ROJO",IF(AND(R71-TODAY()&lt;=7,W71&lt;1),"AMARILLO","GRIS"))))</f>
        <v>GRIS</v>
      </c>
      <c r="Y71" s="20" t="s">
        <v>37</v>
      </c>
    </row>
    <row r="72" ht="46" customHeight="1" spans="1:25" x14ac:dyDescent="0.25">
      <c r="A72" s="17" t="s">
        <v>565</v>
      </c>
      <c r="B72" s="17" t="s">
        <v>454</v>
      </c>
      <c r="C72" s="17" t="s">
        <v>44</v>
      </c>
      <c r="D72" s="17" t="s">
        <v>566</v>
      </c>
      <c r="E72" s="17" t="s">
        <v>567</v>
      </c>
      <c r="F72" s="17" t="s">
        <v>568</v>
      </c>
      <c r="G72" s="17" t="s">
        <v>569</v>
      </c>
      <c r="H72" s="17" t="s">
        <v>570</v>
      </c>
      <c r="I72" s="17" t="s">
        <v>96</v>
      </c>
      <c r="J72" s="17" t="s">
        <v>97</v>
      </c>
      <c r="K72" s="17" t="s">
        <v>232</v>
      </c>
      <c r="L72" s="17" t="s">
        <v>44</v>
      </c>
      <c r="M72" s="17" t="s">
        <v>558</v>
      </c>
      <c r="N72" s="17" t="s">
        <v>571</v>
      </c>
      <c r="O72" s="17" t="s">
        <v>101</v>
      </c>
      <c r="P72" s="17">
        <v>2</v>
      </c>
      <c r="Q72" s="18">
        <v>46378.75</v>
      </c>
      <c r="R72" s="18">
        <v>46381.75</v>
      </c>
      <c r="S72" s="17">
        <f>NETWORKDAYS(Q72,R72)</f>
        <v>4</v>
      </c>
      <c r="T72" s="18" t="s">
        <v>37</v>
      </c>
      <c r="U72" s="18" t="s">
        <v>37</v>
      </c>
      <c r="V72" s="17" t="s">
        <v>102</v>
      </c>
      <c r="W72" s="19">
        <v>0</v>
      </c>
      <c r="X72" s="17" t="str">
        <f>IF(OR(V72="Completada",V72="No aplica"),"VERDE",IF(V72="Bloqueada","ROJO",IF(R72&lt;TODAY(),"ROJO",IF(AND(R72-TODAY()&lt;=7,W72&lt;1),"AMARILLO","GRIS"))))</f>
        <v>GRIS</v>
      </c>
      <c r="Y72" s="17" t="s">
        <v>37</v>
      </c>
    </row>
    <row r="73" ht="46" customHeight="1" spans="1:25" x14ac:dyDescent="0.25">
      <c r="A73" s="20" t="s">
        <v>572</v>
      </c>
      <c r="B73" s="20" t="s">
        <v>454</v>
      </c>
      <c r="C73" s="20" t="s">
        <v>44</v>
      </c>
      <c r="D73" s="20" t="s">
        <v>573</v>
      </c>
      <c r="E73" s="20" t="s">
        <v>574</v>
      </c>
      <c r="F73" s="20" t="s">
        <v>575</v>
      </c>
      <c r="G73" s="20" t="s">
        <v>576</v>
      </c>
      <c r="H73" s="20" t="s">
        <v>577</v>
      </c>
      <c r="I73" s="20" t="s">
        <v>96</v>
      </c>
      <c r="J73" s="20" t="s">
        <v>97</v>
      </c>
      <c r="K73" s="20" t="s">
        <v>232</v>
      </c>
      <c r="L73" s="20" t="s">
        <v>44</v>
      </c>
      <c r="M73" s="20" t="s">
        <v>565</v>
      </c>
      <c r="N73" s="20" t="s">
        <v>578</v>
      </c>
      <c r="O73" s="20" t="s">
        <v>117</v>
      </c>
      <c r="P73" s="20">
        <v>1</v>
      </c>
      <c r="Q73" s="21">
        <v>46384.75</v>
      </c>
      <c r="R73" s="21">
        <v>46386.75</v>
      </c>
      <c r="S73" s="20">
        <f>NETWORKDAYS(Q73,R73)</f>
        <v>3</v>
      </c>
      <c r="T73" s="21" t="s">
        <v>37</v>
      </c>
      <c r="U73" s="21" t="s">
        <v>37</v>
      </c>
      <c r="V73" s="20" t="s">
        <v>102</v>
      </c>
      <c r="W73" s="22">
        <v>0</v>
      </c>
      <c r="X73" s="20" t="str">
        <f>IF(OR(V73="Completada",V73="No aplica"),"VERDE",IF(V73="Bloqueada","ROJO",IF(R73&lt;TODAY(),"ROJO",IF(AND(R73-TODAY()&lt;=7,W73&lt;1),"AMARILLO","GRIS"))))</f>
        <v>GRIS</v>
      </c>
      <c r="Y73" s="20" t="s">
        <v>37</v>
      </c>
    </row>
    <row r="74" ht="46" customHeight="1" spans="1:25" x14ac:dyDescent="0.25">
      <c r="A74" s="17" t="s">
        <v>579</v>
      </c>
      <c r="B74" s="17" t="s">
        <v>454</v>
      </c>
      <c r="C74" s="17" t="s">
        <v>44</v>
      </c>
      <c r="D74" s="17" t="s">
        <v>580</v>
      </c>
      <c r="E74" s="17" t="s">
        <v>581</v>
      </c>
      <c r="F74" s="17" t="s">
        <v>582</v>
      </c>
      <c r="G74" s="17" t="s">
        <v>583</v>
      </c>
      <c r="H74" s="17" t="s">
        <v>584</v>
      </c>
      <c r="I74" s="17" t="s">
        <v>96</v>
      </c>
      <c r="J74" s="17" t="s">
        <v>97</v>
      </c>
      <c r="K74" s="17" t="s">
        <v>232</v>
      </c>
      <c r="L74" s="17" t="s">
        <v>44</v>
      </c>
      <c r="M74" s="17" t="s">
        <v>572</v>
      </c>
      <c r="N74" s="17" t="s">
        <v>585</v>
      </c>
      <c r="O74" s="17" t="s">
        <v>117</v>
      </c>
      <c r="P74" s="17">
        <v>1</v>
      </c>
      <c r="Q74" s="18">
        <v>46387.75</v>
      </c>
      <c r="R74" s="18">
        <v>46391.75</v>
      </c>
      <c r="S74" s="17">
        <f>NETWORKDAYS(Q74,R74)</f>
        <v>3</v>
      </c>
      <c r="T74" s="18" t="s">
        <v>37</v>
      </c>
      <c r="U74" s="18" t="s">
        <v>37</v>
      </c>
      <c r="V74" s="17" t="s">
        <v>102</v>
      </c>
      <c r="W74" s="19">
        <v>0</v>
      </c>
      <c r="X74" s="17" t="str">
        <f>IF(OR(V74="Completada",V74="No aplica"),"VERDE",IF(V74="Bloqueada","ROJO",IF(R74&lt;TODAY(),"ROJO",IF(AND(R74-TODAY()&lt;=7,W74&lt;1),"AMARILLO","GRIS"))))</f>
        <v>GRIS</v>
      </c>
      <c r="Y74" s="17" t="s">
        <v>37</v>
      </c>
    </row>
    <row r="75" ht="46" customHeight="1" spans="1:25" x14ac:dyDescent="0.25">
      <c r="A75" s="20" t="s">
        <v>586</v>
      </c>
      <c r="B75" s="20" t="s">
        <v>454</v>
      </c>
      <c r="C75" s="20" t="s">
        <v>44</v>
      </c>
      <c r="D75" s="20" t="s">
        <v>587</v>
      </c>
      <c r="E75" s="20" t="s">
        <v>588</v>
      </c>
      <c r="F75" s="20" t="s">
        <v>589</v>
      </c>
      <c r="G75" s="20" t="s">
        <v>590</v>
      </c>
      <c r="H75" s="20" t="s">
        <v>591</v>
      </c>
      <c r="I75" s="20" t="s">
        <v>96</v>
      </c>
      <c r="J75" s="20" t="s">
        <v>97</v>
      </c>
      <c r="K75" s="20" t="s">
        <v>232</v>
      </c>
      <c r="L75" s="20" t="s">
        <v>44</v>
      </c>
      <c r="M75" s="20" t="s">
        <v>579</v>
      </c>
      <c r="N75" s="20" t="s">
        <v>592</v>
      </c>
      <c r="O75" s="20" t="s">
        <v>168</v>
      </c>
      <c r="P75" s="20">
        <v>3</v>
      </c>
      <c r="Q75" s="21">
        <v>46392.75</v>
      </c>
      <c r="R75" s="21">
        <v>46398.75</v>
      </c>
      <c r="S75" s="20">
        <f>NETWORKDAYS(Q75,R75)</f>
        <v>5</v>
      </c>
      <c r="T75" s="21" t="s">
        <v>37</v>
      </c>
      <c r="U75" s="21" t="s">
        <v>37</v>
      </c>
      <c r="V75" s="20" t="s">
        <v>102</v>
      </c>
      <c r="W75" s="22">
        <v>0</v>
      </c>
      <c r="X75" s="20" t="str">
        <f>IF(OR(V75="Completada",V75="No aplica"),"VERDE",IF(V75="Bloqueada","ROJO",IF(R75&lt;TODAY(),"ROJO",IF(AND(R75-TODAY()&lt;=7,W75&lt;1),"AMARILLO","GRIS"))))</f>
        <v>GRIS</v>
      </c>
      <c r="Y75" s="20" t="s">
        <v>37</v>
      </c>
    </row>
    <row r="76" ht="46" customHeight="1" spans="1:25" x14ac:dyDescent="0.25">
      <c r="A76" s="17" t="s">
        <v>593</v>
      </c>
      <c r="B76" s="17" t="s">
        <v>454</v>
      </c>
      <c r="C76" s="17" t="s">
        <v>44</v>
      </c>
      <c r="D76" s="17" t="s">
        <v>594</v>
      </c>
      <c r="E76" s="17" t="s">
        <v>595</v>
      </c>
      <c r="F76" s="17" t="s">
        <v>596</v>
      </c>
      <c r="G76" s="17" t="s">
        <v>597</v>
      </c>
      <c r="H76" s="17" t="s">
        <v>598</v>
      </c>
      <c r="I76" s="17" t="s">
        <v>96</v>
      </c>
      <c r="J76" s="17" t="s">
        <v>97</v>
      </c>
      <c r="K76" s="17" t="s">
        <v>232</v>
      </c>
      <c r="L76" s="17" t="s">
        <v>44</v>
      </c>
      <c r="M76" s="17" t="s">
        <v>586</v>
      </c>
      <c r="N76" s="17" t="s">
        <v>599</v>
      </c>
      <c r="O76" s="17" t="s">
        <v>101</v>
      </c>
      <c r="P76" s="17">
        <v>2</v>
      </c>
      <c r="Q76" s="18">
        <v>46399.75</v>
      </c>
      <c r="R76" s="18">
        <v>46401.75</v>
      </c>
      <c r="S76" s="17">
        <f>NETWORKDAYS(Q76,R76)</f>
        <v>3</v>
      </c>
      <c r="T76" s="18" t="s">
        <v>37</v>
      </c>
      <c r="U76" s="18" t="s">
        <v>37</v>
      </c>
      <c r="V76" s="17" t="s">
        <v>102</v>
      </c>
      <c r="W76" s="19">
        <v>0</v>
      </c>
      <c r="X76" s="17" t="str">
        <f>IF(OR(V76="Completada",V76="No aplica"),"VERDE",IF(V76="Bloqueada","ROJO",IF(R76&lt;TODAY(),"ROJO",IF(AND(R76-TODAY()&lt;=7,W76&lt;1),"AMARILLO","GRIS"))))</f>
        <v>GRIS</v>
      </c>
      <c r="Y76" s="17" t="s">
        <v>37</v>
      </c>
    </row>
    <row r="77" ht="46" customHeight="1" spans="1:25" x14ac:dyDescent="0.25">
      <c r="A77" s="20" t="s">
        <v>600</v>
      </c>
      <c r="B77" s="20" t="s">
        <v>454</v>
      </c>
      <c r="C77" s="20" t="s">
        <v>44</v>
      </c>
      <c r="D77" s="20" t="s">
        <v>601</v>
      </c>
      <c r="E77" s="20" t="s">
        <v>602</v>
      </c>
      <c r="F77" s="20" t="s">
        <v>603</v>
      </c>
      <c r="G77" s="20" t="s">
        <v>604</v>
      </c>
      <c r="H77" s="20" t="s">
        <v>605</v>
      </c>
      <c r="I77" s="20" t="s">
        <v>96</v>
      </c>
      <c r="J77" s="20" t="s">
        <v>97</v>
      </c>
      <c r="K77" s="20" t="s">
        <v>232</v>
      </c>
      <c r="L77" s="20" t="s">
        <v>44</v>
      </c>
      <c r="M77" s="20" t="s">
        <v>593</v>
      </c>
      <c r="N77" s="20" t="s">
        <v>606</v>
      </c>
      <c r="O77" s="20" t="s">
        <v>101</v>
      </c>
      <c r="P77" s="20">
        <v>2</v>
      </c>
      <c r="Q77" s="21">
        <v>46402.75</v>
      </c>
      <c r="R77" s="21">
        <v>46406.75</v>
      </c>
      <c r="S77" s="20">
        <f>NETWORKDAYS(Q77,R77)</f>
        <v>3</v>
      </c>
      <c r="T77" s="21" t="s">
        <v>37</v>
      </c>
      <c r="U77" s="21" t="s">
        <v>37</v>
      </c>
      <c r="V77" s="20" t="s">
        <v>102</v>
      </c>
      <c r="W77" s="22">
        <v>0</v>
      </c>
      <c r="X77" s="20" t="str">
        <f>IF(OR(V77="Completada",V77="No aplica"),"VERDE",IF(V77="Bloqueada","ROJO",IF(R77&lt;TODAY(),"ROJO",IF(AND(R77-TODAY()&lt;=7,W77&lt;1),"AMARILLO","GRIS"))))</f>
        <v>GRIS</v>
      </c>
      <c r="Y77" s="20" t="s">
        <v>37</v>
      </c>
    </row>
    <row r="78" ht="46" customHeight="1" spans="1:25" x14ac:dyDescent="0.25">
      <c r="A78" s="17" t="s">
        <v>607</v>
      </c>
      <c r="B78" s="17" t="s">
        <v>454</v>
      </c>
      <c r="C78" s="17" t="s">
        <v>44</v>
      </c>
      <c r="D78" s="17" t="s">
        <v>608</v>
      </c>
      <c r="E78" s="17" t="s">
        <v>609</v>
      </c>
      <c r="F78" s="17" t="s">
        <v>610</v>
      </c>
      <c r="G78" s="17" t="s">
        <v>611</v>
      </c>
      <c r="H78" s="17" t="s">
        <v>612</v>
      </c>
      <c r="I78" s="17" t="s">
        <v>96</v>
      </c>
      <c r="J78" s="17" t="s">
        <v>97</v>
      </c>
      <c r="K78" s="17" t="s">
        <v>232</v>
      </c>
      <c r="L78" s="17" t="s">
        <v>44</v>
      </c>
      <c r="M78" s="17" t="s">
        <v>600</v>
      </c>
      <c r="N78" s="17" t="s">
        <v>613</v>
      </c>
      <c r="O78" s="17" t="s">
        <v>117</v>
      </c>
      <c r="P78" s="17">
        <v>1</v>
      </c>
      <c r="Q78" s="18">
        <v>46407.75</v>
      </c>
      <c r="R78" s="18">
        <v>46412.75</v>
      </c>
      <c r="S78" s="17">
        <f>NETWORKDAYS(Q78,R78)</f>
        <v>4</v>
      </c>
      <c r="T78" s="18" t="s">
        <v>37</v>
      </c>
      <c r="U78" s="18" t="s">
        <v>37</v>
      </c>
      <c r="V78" s="17" t="s">
        <v>102</v>
      </c>
      <c r="W78" s="19">
        <v>0</v>
      </c>
      <c r="X78" s="17" t="str">
        <f>IF(OR(V78="Completada",V78="No aplica"),"VERDE",IF(V78="Bloqueada","ROJO",IF(R78&lt;TODAY(),"ROJO",IF(AND(R78-TODAY()&lt;=7,W78&lt;1),"AMARILLO","GRIS"))))</f>
        <v>GRIS</v>
      </c>
      <c r="Y78" s="17" t="s">
        <v>37</v>
      </c>
    </row>
    <row r="79" ht="46" customHeight="1" spans="1:25" x14ac:dyDescent="0.25">
      <c r="A79" s="20" t="s">
        <v>614</v>
      </c>
      <c r="B79" s="20" t="s">
        <v>454</v>
      </c>
      <c r="C79" s="20" t="s">
        <v>44</v>
      </c>
      <c r="D79" s="20" t="s">
        <v>615</v>
      </c>
      <c r="E79" s="20" t="s">
        <v>616</v>
      </c>
      <c r="F79" s="20" t="s">
        <v>617</v>
      </c>
      <c r="G79" s="20" t="s">
        <v>618</v>
      </c>
      <c r="H79" s="20" t="s">
        <v>619</v>
      </c>
      <c r="I79" s="20" t="s">
        <v>96</v>
      </c>
      <c r="J79" s="20" t="s">
        <v>97</v>
      </c>
      <c r="K79" s="20" t="s">
        <v>232</v>
      </c>
      <c r="L79" s="20" t="s">
        <v>44</v>
      </c>
      <c r="M79" s="20" t="s">
        <v>607</v>
      </c>
      <c r="N79" s="20" t="s">
        <v>620</v>
      </c>
      <c r="O79" s="20" t="s">
        <v>117</v>
      </c>
      <c r="P79" s="20">
        <v>1</v>
      </c>
      <c r="Q79" s="21">
        <v>46413.75</v>
      </c>
      <c r="R79" s="21">
        <v>46415.75</v>
      </c>
      <c r="S79" s="20">
        <f>NETWORKDAYS(Q79,R79)</f>
        <v>3</v>
      </c>
      <c r="T79" s="21" t="s">
        <v>37</v>
      </c>
      <c r="U79" s="21" t="s">
        <v>37</v>
      </c>
      <c r="V79" s="20" t="s">
        <v>102</v>
      </c>
      <c r="W79" s="22">
        <v>0</v>
      </c>
      <c r="X79" s="20" t="str">
        <f>IF(OR(V79="Completada",V79="No aplica"),"VERDE",IF(V79="Bloqueada","ROJO",IF(R79&lt;TODAY(),"ROJO",IF(AND(R79-TODAY()&lt;=7,W79&lt;1),"AMARILLO","GRIS"))))</f>
        <v>GRIS</v>
      </c>
      <c r="Y79" s="20" t="s">
        <v>37</v>
      </c>
    </row>
    <row r="80" ht="46" customHeight="1" spans="1:25" x14ac:dyDescent="0.25">
      <c r="A80" s="17" t="s">
        <v>621</v>
      </c>
      <c r="B80" s="17" t="s">
        <v>454</v>
      </c>
      <c r="C80" s="17" t="s">
        <v>44</v>
      </c>
      <c r="D80" s="17" t="s">
        <v>622</v>
      </c>
      <c r="E80" s="17" t="s">
        <v>623</v>
      </c>
      <c r="F80" s="17" t="s">
        <v>624</v>
      </c>
      <c r="G80" s="17" t="s">
        <v>625</v>
      </c>
      <c r="H80" s="17" t="s">
        <v>626</v>
      </c>
      <c r="I80" s="17" t="s">
        <v>96</v>
      </c>
      <c r="J80" s="17" t="s">
        <v>97</v>
      </c>
      <c r="K80" s="17" t="s">
        <v>232</v>
      </c>
      <c r="L80" s="17" t="s">
        <v>44</v>
      </c>
      <c r="M80" s="17" t="s">
        <v>614</v>
      </c>
      <c r="N80" s="17" t="s">
        <v>627</v>
      </c>
      <c r="O80" s="17" t="s">
        <v>117</v>
      </c>
      <c r="P80" s="17">
        <v>1</v>
      </c>
      <c r="Q80" s="18">
        <v>46416.75</v>
      </c>
      <c r="R80" s="18">
        <v>46420.75</v>
      </c>
      <c r="S80" s="17">
        <f>NETWORKDAYS(Q80,R80)</f>
        <v>3</v>
      </c>
      <c r="T80" s="18" t="s">
        <v>37</v>
      </c>
      <c r="U80" s="18" t="s">
        <v>37</v>
      </c>
      <c r="V80" s="17" t="s">
        <v>102</v>
      </c>
      <c r="W80" s="19">
        <v>0</v>
      </c>
      <c r="X80" s="17" t="str">
        <f>IF(OR(V80="Completada",V80="No aplica"),"VERDE",IF(V80="Bloqueada","ROJO",IF(R80&lt;TODAY(),"ROJO",IF(AND(R80-TODAY()&lt;=7,W80&lt;1),"AMARILLO","GRIS"))))</f>
        <v>GRIS</v>
      </c>
      <c r="Y80" s="17" t="s">
        <v>37</v>
      </c>
    </row>
    <row r="81" ht="46" customHeight="1" spans="1:25" x14ac:dyDescent="0.25">
      <c r="A81" s="20" t="s">
        <v>628</v>
      </c>
      <c r="B81" s="20" t="s">
        <v>454</v>
      </c>
      <c r="C81" s="20" t="s">
        <v>44</v>
      </c>
      <c r="D81" s="20" t="s">
        <v>629</v>
      </c>
      <c r="E81" s="20" t="s">
        <v>630</v>
      </c>
      <c r="F81" s="20" t="s">
        <v>631</v>
      </c>
      <c r="G81" s="20" t="s">
        <v>632</v>
      </c>
      <c r="H81" s="20" t="s">
        <v>633</v>
      </c>
      <c r="I81" s="20" t="s">
        <v>96</v>
      </c>
      <c r="J81" s="20" t="s">
        <v>97</v>
      </c>
      <c r="K81" s="20" t="s">
        <v>232</v>
      </c>
      <c r="L81" s="20" t="s">
        <v>44</v>
      </c>
      <c r="M81" s="20" t="s">
        <v>621</v>
      </c>
      <c r="N81" s="20" t="s">
        <v>634</v>
      </c>
      <c r="O81" s="20" t="s">
        <v>117</v>
      </c>
      <c r="P81" s="20">
        <v>1</v>
      </c>
      <c r="Q81" s="21">
        <v>46421.75</v>
      </c>
      <c r="R81" s="21">
        <v>46426.75</v>
      </c>
      <c r="S81" s="20">
        <f>NETWORKDAYS(Q81,R81)</f>
        <v>4</v>
      </c>
      <c r="T81" s="21" t="s">
        <v>37</v>
      </c>
      <c r="U81" s="21" t="s">
        <v>37</v>
      </c>
      <c r="V81" s="20" t="s">
        <v>102</v>
      </c>
      <c r="W81" s="22">
        <v>0</v>
      </c>
      <c r="X81" s="20" t="str">
        <f>IF(OR(V81="Completada",V81="No aplica"),"VERDE",IF(V81="Bloqueada","ROJO",IF(R81&lt;TODAY(),"ROJO",IF(AND(R81-TODAY()&lt;=7,W81&lt;1),"AMARILLO","GRIS"))))</f>
        <v>GRIS</v>
      </c>
      <c r="Y81" s="20" t="s">
        <v>37</v>
      </c>
    </row>
    <row r="82" ht="46" customHeight="1" spans="1:25" x14ac:dyDescent="0.25">
      <c r="A82" s="17" t="s">
        <v>635</v>
      </c>
      <c r="B82" s="17" t="s">
        <v>454</v>
      </c>
      <c r="C82" s="17" t="s">
        <v>44</v>
      </c>
      <c r="D82" s="17" t="s">
        <v>636</v>
      </c>
      <c r="E82" s="17" t="s">
        <v>637</v>
      </c>
      <c r="F82" s="17" t="s">
        <v>638</v>
      </c>
      <c r="G82" s="17" t="s">
        <v>639</v>
      </c>
      <c r="H82" s="17" t="s">
        <v>640</v>
      </c>
      <c r="I82" s="17" t="s">
        <v>96</v>
      </c>
      <c r="J82" s="17" t="s">
        <v>97</v>
      </c>
      <c r="K82" s="17" t="s">
        <v>232</v>
      </c>
      <c r="L82" s="17" t="s">
        <v>44</v>
      </c>
      <c r="M82" s="17" t="s">
        <v>628</v>
      </c>
      <c r="N82" s="17" t="s">
        <v>641</v>
      </c>
      <c r="O82" s="17" t="s">
        <v>117</v>
      </c>
      <c r="P82" s="17">
        <v>1</v>
      </c>
      <c r="Q82" s="18">
        <v>46427.75</v>
      </c>
      <c r="R82" s="18">
        <v>46429.75</v>
      </c>
      <c r="S82" s="17">
        <f>NETWORKDAYS(Q82,R82)</f>
        <v>3</v>
      </c>
      <c r="T82" s="18" t="s">
        <v>37</v>
      </c>
      <c r="U82" s="18" t="s">
        <v>37</v>
      </c>
      <c r="V82" s="17" t="s">
        <v>102</v>
      </c>
      <c r="W82" s="19">
        <v>0</v>
      </c>
      <c r="X82" s="17" t="str">
        <f>IF(OR(V82="Completada",V82="No aplica"),"VERDE",IF(V82="Bloqueada","ROJO",IF(R82&lt;TODAY(),"ROJO",IF(AND(R82-TODAY()&lt;=7,W82&lt;1),"AMARILLO","GRIS"))))</f>
        <v>GRIS</v>
      </c>
      <c r="Y82" s="17" t="s">
        <v>37</v>
      </c>
    </row>
    <row r="83" ht="46" customHeight="1" spans="1:25" x14ac:dyDescent="0.25">
      <c r="A83" s="20" t="s">
        <v>642</v>
      </c>
      <c r="B83" s="20" t="s">
        <v>454</v>
      </c>
      <c r="C83" s="20" t="s">
        <v>44</v>
      </c>
      <c r="D83" s="20" t="s">
        <v>643</v>
      </c>
      <c r="E83" s="20" t="s">
        <v>644</v>
      </c>
      <c r="F83" s="20" t="s">
        <v>645</v>
      </c>
      <c r="G83" s="20" t="s">
        <v>646</v>
      </c>
      <c r="H83" s="20" t="s">
        <v>647</v>
      </c>
      <c r="I83" s="20" t="s">
        <v>96</v>
      </c>
      <c r="J83" s="20" t="s">
        <v>97</v>
      </c>
      <c r="K83" s="20" t="s">
        <v>232</v>
      </c>
      <c r="L83" s="20" t="s">
        <v>44</v>
      </c>
      <c r="M83" s="20" t="s">
        <v>635</v>
      </c>
      <c r="N83" s="20" t="s">
        <v>648</v>
      </c>
      <c r="O83" s="20" t="s">
        <v>117</v>
      </c>
      <c r="P83" s="20">
        <v>1</v>
      </c>
      <c r="Q83" s="21">
        <v>46430.75</v>
      </c>
      <c r="R83" s="21">
        <v>46434.75</v>
      </c>
      <c r="S83" s="20">
        <f>NETWORKDAYS(Q83,R83)</f>
        <v>3</v>
      </c>
      <c r="T83" s="21" t="s">
        <v>37</v>
      </c>
      <c r="U83" s="21" t="s">
        <v>37</v>
      </c>
      <c r="V83" s="20" t="s">
        <v>102</v>
      </c>
      <c r="W83" s="22">
        <v>0</v>
      </c>
      <c r="X83" s="20" t="str">
        <f>IF(OR(V83="Completada",V83="No aplica"),"VERDE",IF(V83="Bloqueada","ROJO",IF(R83&lt;TODAY(),"ROJO",IF(AND(R83-TODAY()&lt;=7,W83&lt;1),"AMARILLO","GRIS"))))</f>
        <v>GRIS</v>
      </c>
      <c r="Y83" s="20" t="s">
        <v>37</v>
      </c>
    </row>
    <row r="84" ht="46" customHeight="1" spans="1:25" x14ac:dyDescent="0.25">
      <c r="A84" s="17" t="s">
        <v>649</v>
      </c>
      <c r="B84" s="17" t="s">
        <v>454</v>
      </c>
      <c r="C84" s="17" t="s">
        <v>44</v>
      </c>
      <c r="D84" s="17" t="s">
        <v>650</v>
      </c>
      <c r="E84" s="17" t="s">
        <v>651</v>
      </c>
      <c r="F84" s="17" t="s">
        <v>652</v>
      </c>
      <c r="G84" s="17" t="s">
        <v>653</v>
      </c>
      <c r="H84" s="17" t="s">
        <v>654</v>
      </c>
      <c r="I84" s="17" t="s">
        <v>96</v>
      </c>
      <c r="J84" s="17" t="s">
        <v>97</v>
      </c>
      <c r="K84" s="17" t="s">
        <v>232</v>
      </c>
      <c r="L84" s="17" t="s">
        <v>44</v>
      </c>
      <c r="M84" s="17" t="s">
        <v>642</v>
      </c>
      <c r="N84" s="17" t="s">
        <v>655</v>
      </c>
      <c r="O84" s="17" t="s">
        <v>101</v>
      </c>
      <c r="P84" s="17">
        <v>2</v>
      </c>
      <c r="Q84" s="18">
        <v>46435.75</v>
      </c>
      <c r="R84" s="18">
        <v>46440.75</v>
      </c>
      <c r="S84" s="17">
        <f>NETWORKDAYS(Q84,R84)</f>
        <v>4</v>
      </c>
      <c r="T84" s="18" t="s">
        <v>37</v>
      </c>
      <c r="U84" s="18" t="s">
        <v>37</v>
      </c>
      <c r="V84" s="17" t="s">
        <v>102</v>
      </c>
      <c r="W84" s="19">
        <v>0</v>
      </c>
      <c r="X84" s="17" t="str">
        <f>IF(OR(V84="Completada",V84="No aplica"),"VERDE",IF(V84="Bloqueada","ROJO",IF(R84&lt;TODAY(),"ROJO",IF(AND(R84-TODAY()&lt;=7,W84&lt;1),"AMARILLO","GRIS"))))</f>
        <v>GRIS</v>
      </c>
      <c r="Y84" s="17" t="s">
        <v>37</v>
      </c>
    </row>
    <row r="85" ht="46" customHeight="1" spans="1:25" x14ac:dyDescent="0.25">
      <c r="A85" s="20" t="s">
        <v>656</v>
      </c>
      <c r="B85" s="20" t="s">
        <v>454</v>
      </c>
      <c r="C85" s="20" t="s">
        <v>45</v>
      </c>
      <c r="D85" s="20" t="s">
        <v>256</v>
      </c>
      <c r="E85" s="20" t="s">
        <v>257</v>
      </c>
      <c r="F85" s="20" t="s">
        <v>657</v>
      </c>
      <c r="G85" s="20" t="s">
        <v>259</v>
      </c>
      <c r="H85" s="20" t="s">
        <v>658</v>
      </c>
      <c r="I85" s="20" t="s">
        <v>96</v>
      </c>
      <c r="J85" s="20" t="s">
        <v>97</v>
      </c>
      <c r="K85" s="20" t="s">
        <v>166</v>
      </c>
      <c r="L85" s="20" t="s">
        <v>44</v>
      </c>
      <c r="M85" s="20" t="s">
        <v>37</v>
      </c>
      <c r="N85" s="20" t="s">
        <v>100</v>
      </c>
      <c r="O85" s="20" t="s">
        <v>101</v>
      </c>
      <c r="P85" s="20">
        <v>2</v>
      </c>
      <c r="Q85" s="21">
        <v>46365.75</v>
      </c>
      <c r="R85" s="21">
        <v>46370.75</v>
      </c>
      <c r="S85" s="20">
        <f>NETWORKDAYS(Q85,R85)</f>
        <v>4</v>
      </c>
      <c r="T85" s="21" t="s">
        <v>37</v>
      </c>
      <c r="U85" s="21" t="s">
        <v>37</v>
      </c>
      <c r="V85" s="20" t="s">
        <v>102</v>
      </c>
      <c r="W85" s="22">
        <v>0</v>
      </c>
      <c r="X85" s="20" t="str">
        <f>IF(OR(V85="Completada",V85="No aplica"),"VERDE",IF(V85="Bloqueada","ROJO",IF(R85&lt;TODAY(),"ROJO",IF(AND(R85-TODAY()&lt;=7,W85&lt;1),"AMARILLO","GRIS"))))</f>
        <v>GRIS</v>
      </c>
      <c r="Y85" s="20" t="s">
        <v>37</v>
      </c>
    </row>
    <row r="86" ht="46" customHeight="1" spans="1:25" x14ac:dyDescent="0.25">
      <c r="A86" s="17" t="s">
        <v>659</v>
      </c>
      <c r="B86" s="17" t="s">
        <v>454</v>
      </c>
      <c r="C86" s="17" t="s">
        <v>45</v>
      </c>
      <c r="D86" s="17" t="s">
        <v>660</v>
      </c>
      <c r="E86" s="17" t="s">
        <v>661</v>
      </c>
      <c r="F86" s="17" t="s">
        <v>662</v>
      </c>
      <c r="G86" s="17" t="s">
        <v>663</v>
      </c>
      <c r="H86" s="17" t="s">
        <v>664</v>
      </c>
      <c r="I86" s="17" t="s">
        <v>96</v>
      </c>
      <c r="J86" s="17" t="s">
        <v>97</v>
      </c>
      <c r="K86" s="17" t="s">
        <v>166</v>
      </c>
      <c r="L86" s="17" t="s">
        <v>44</v>
      </c>
      <c r="M86" s="17" t="s">
        <v>656</v>
      </c>
      <c r="N86" s="17" t="s">
        <v>665</v>
      </c>
      <c r="O86" s="17" t="s">
        <v>101</v>
      </c>
      <c r="P86" s="17">
        <v>2</v>
      </c>
      <c r="Q86" s="18">
        <v>46371.75</v>
      </c>
      <c r="R86" s="18">
        <v>46373.75</v>
      </c>
      <c r="S86" s="17">
        <f>NETWORKDAYS(Q86,R86)</f>
        <v>3</v>
      </c>
      <c r="T86" s="18" t="s">
        <v>37</v>
      </c>
      <c r="U86" s="18" t="s">
        <v>37</v>
      </c>
      <c r="V86" s="17" t="s">
        <v>102</v>
      </c>
      <c r="W86" s="19">
        <v>0</v>
      </c>
      <c r="X86" s="17" t="str">
        <f>IF(OR(V86="Completada",V86="No aplica"),"VERDE",IF(V86="Bloqueada","ROJO",IF(R86&lt;TODAY(),"ROJO",IF(AND(R86-TODAY()&lt;=7,W86&lt;1),"AMARILLO","GRIS"))))</f>
        <v>GRIS</v>
      </c>
      <c r="Y86" s="17" t="s">
        <v>37</v>
      </c>
    </row>
    <row r="87" ht="46" customHeight="1" spans="1:25" x14ac:dyDescent="0.25">
      <c r="A87" s="20" t="s">
        <v>666</v>
      </c>
      <c r="B87" s="20" t="s">
        <v>454</v>
      </c>
      <c r="C87" s="20" t="s">
        <v>45</v>
      </c>
      <c r="D87" s="20" t="s">
        <v>667</v>
      </c>
      <c r="E87" s="20" t="s">
        <v>668</v>
      </c>
      <c r="F87" s="20" t="s">
        <v>669</v>
      </c>
      <c r="G87" s="20" t="s">
        <v>670</v>
      </c>
      <c r="H87" s="20" t="s">
        <v>671</v>
      </c>
      <c r="I87" s="20" t="s">
        <v>96</v>
      </c>
      <c r="J87" s="20" t="s">
        <v>97</v>
      </c>
      <c r="K87" s="20" t="s">
        <v>166</v>
      </c>
      <c r="L87" s="20" t="s">
        <v>44</v>
      </c>
      <c r="M87" s="20" t="s">
        <v>659</v>
      </c>
      <c r="N87" s="20" t="s">
        <v>672</v>
      </c>
      <c r="O87" s="20" t="s">
        <v>117</v>
      </c>
      <c r="P87" s="20">
        <v>1</v>
      </c>
      <c r="Q87" s="21">
        <v>46374.75</v>
      </c>
      <c r="R87" s="21">
        <v>46378.75</v>
      </c>
      <c r="S87" s="20">
        <f>NETWORKDAYS(Q87,R87)</f>
        <v>3</v>
      </c>
      <c r="T87" s="21" t="s">
        <v>37</v>
      </c>
      <c r="U87" s="21" t="s">
        <v>37</v>
      </c>
      <c r="V87" s="20" t="s">
        <v>102</v>
      </c>
      <c r="W87" s="22">
        <v>0</v>
      </c>
      <c r="X87" s="20" t="str">
        <f>IF(OR(V87="Completada",V87="No aplica"),"VERDE",IF(V87="Bloqueada","ROJO",IF(R87&lt;TODAY(),"ROJO",IF(AND(R87-TODAY()&lt;=7,W87&lt;1),"AMARILLO","GRIS"))))</f>
        <v>GRIS</v>
      </c>
      <c r="Y87" s="20" t="s">
        <v>37</v>
      </c>
    </row>
    <row r="88" ht="46" customHeight="1" spans="1:25" x14ac:dyDescent="0.25">
      <c r="A88" s="17" t="s">
        <v>673</v>
      </c>
      <c r="B88" s="17" t="s">
        <v>454</v>
      </c>
      <c r="C88" s="17" t="s">
        <v>45</v>
      </c>
      <c r="D88" s="17" t="s">
        <v>674</v>
      </c>
      <c r="E88" s="17" t="s">
        <v>675</v>
      </c>
      <c r="F88" s="17" t="s">
        <v>676</v>
      </c>
      <c r="G88" s="17" t="s">
        <v>677</v>
      </c>
      <c r="H88" s="17" t="s">
        <v>678</v>
      </c>
      <c r="I88" s="17" t="s">
        <v>96</v>
      </c>
      <c r="J88" s="17" t="s">
        <v>97</v>
      </c>
      <c r="K88" s="17" t="s">
        <v>166</v>
      </c>
      <c r="L88" s="17" t="s">
        <v>44</v>
      </c>
      <c r="M88" s="17" t="s">
        <v>666</v>
      </c>
      <c r="N88" s="17" t="s">
        <v>679</v>
      </c>
      <c r="O88" s="17" t="s">
        <v>117</v>
      </c>
      <c r="P88" s="17">
        <v>1</v>
      </c>
      <c r="Q88" s="18">
        <v>46379.75</v>
      </c>
      <c r="R88" s="18">
        <v>46384.75</v>
      </c>
      <c r="S88" s="17">
        <f>NETWORKDAYS(Q88,R88)</f>
        <v>4</v>
      </c>
      <c r="T88" s="18" t="s">
        <v>37</v>
      </c>
      <c r="U88" s="18" t="s">
        <v>37</v>
      </c>
      <c r="V88" s="17" t="s">
        <v>102</v>
      </c>
      <c r="W88" s="19">
        <v>0</v>
      </c>
      <c r="X88" s="17" t="str">
        <f>IF(OR(V88="Completada",V88="No aplica"),"VERDE",IF(V88="Bloqueada","ROJO",IF(R88&lt;TODAY(),"ROJO",IF(AND(R88-TODAY()&lt;=7,W88&lt;1),"AMARILLO","GRIS"))))</f>
        <v>GRIS</v>
      </c>
      <c r="Y88" s="17" t="s">
        <v>37</v>
      </c>
    </row>
    <row r="89" ht="46" customHeight="1" spans="1:25" x14ac:dyDescent="0.25">
      <c r="A89" s="20" t="s">
        <v>680</v>
      </c>
      <c r="B89" s="20" t="s">
        <v>454</v>
      </c>
      <c r="C89" s="20" t="s">
        <v>45</v>
      </c>
      <c r="D89" s="20" t="s">
        <v>681</v>
      </c>
      <c r="E89" s="20" t="s">
        <v>682</v>
      </c>
      <c r="F89" s="20" t="s">
        <v>683</v>
      </c>
      <c r="G89" s="20" t="s">
        <v>684</v>
      </c>
      <c r="H89" s="20" t="s">
        <v>685</v>
      </c>
      <c r="I89" s="20" t="s">
        <v>96</v>
      </c>
      <c r="J89" s="20" t="s">
        <v>97</v>
      </c>
      <c r="K89" s="20" t="s">
        <v>166</v>
      </c>
      <c r="L89" s="20" t="s">
        <v>44</v>
      </c>
      <c r="M89" s="20" t="s">
        <v>673</v>
      </c>
      <c r="N89" s="20" t="s">
        <v>686</v>
      </c>
      <c r="O89" s="20" t="s">
        <v>117</v>
      </c>
      <c r="P89" s="20">
        <v>1</v>
      </c>
      <c r="Q89" s="21">
        <v>46385.75</v>
      </c>
      <c r="R89" s="21">
        <v>46387.75</v>
      </c>
      <c r="S89" s="20">
        <f>NETWORKDAYS(Q89,R89)</f>
        <v>3</v>
      </c>
      <c r="T89" s="21" t="s">
        <v>37</v>
      </c>
      <c r="U89" s="21" t="s">
        <v>37</v>
      </c>
      <c r="V89" s="20" t="s">
        <v>102</v>
      </c>
      <c r="W89" s="22">
        <v>0</v>
      </c>
      <c r="X89" s="20" t="str">
        <f>IF(OR(V89="Completada",V89="No aplica"),"VERDE",IF(V89="Bloqueada","ROJO",IF(R89&lt;TODAY(),"ROJO",IF(AND(R89-TODAY()&lt;=7,W89&lt;1),"AMARILLO","GRIS"))))</f>
        <v>GRIS</v>
      </c>
      <c r="Y89" s="20" t="s">
        <v>37</v>
      </c>
    </row>
    <row r="90" ht="46" customHeight="1" spans="1:25" x14ac:dyDescent="0.25">
      <c r="A90" s="17" t="s">
        <v>687</v>
      </c>
      <c r="B90" s="17" t="s">
        <v>454</v>
      </c>
      <c r="C90" s="17" t="s">
        <v>45</v>
      </c>
      <c r="D90" s="17" t="s">
        <v>688</v>
      </c>
      <c r="E90" s="17" t="s">
        <v>689</v>
      </c>
      <c r="F90" s="17" t="s">
        <v>690</v>
      </c>
      <c r="G90" s="17" t="s">
        <v>691</v>
      </c>
      <c r="H90" s="17" t="s">
        <v>692</v>
      </c>
      <c r="I90" s="17" t="s">
        <v>96</v>
      </c>
      <c r="J90" s="17" t="s">
        <v>97</v>
      </c>
      <c r="K90" s="17" t="s">
        <v>166</v>
      </c>
      <c r="L90" s="17" t="s">
        <v>44</v>
      </c>
      <c r="M90" s="17" t="s">
        <v>680</v>
      </c>
      <c r="N90" s="17" t="s">
        <v>693</v>
      </c>
      <c r="O90" s="17" t="s">
        <v>117</v>
      </c>
      <c r="P90" s="17">
        <v>1</v>
      </c>
      <c r="Q90" s="18">
        <v>46388.75</v>
      </c>
      <c r="R90" s="18">
        <v>46392.75</v>
      </c>
      <c r="S90" s="17">
        <f>NETWORKDAYS(Q90,R90)</f>
        <v>3</v>
      </c>
      <c r="T90" s="18" t="s">
        <v>37</v>
      </c>
      <c r="U90" s="18" t="s">
        <v>37</v>
      </c>
      <c r="V90" s="17" t="s">
        <v>102</v>
      </c>
      <c r="W90" s="19">
        <v>0</v>
      </c>
      <c r="X90" s="17" t="str">
        <f>IF(OR(V90="Completada",V90="No aplica"),"VERDE",IF(V90="Bloqueada","ROJO",IF(R90&lt;TODAY(),"ROJO",IF(AND(R90-TODAY()&lt;=7,W90&lt;1),"AMARILLO","GRIS"))))</f>
        <v>GRIS</v>
      </c>
      <c r="Y90" s="17" t="s">
        <v>37</v>
      </c>
    </row>
    <row r="91" ht="46" customHeight="1" spans="1:25" x14ac:dyDescent="0.25">
      <c r="A91" s="20" t="s">
        <v>694</v>
      </c>
      <c r="B91" s="20" t="s">
        <v>454</v>
      </c>
      <c r="C91" s="20" t="s">
        <v>45</v>
      </c>
      <c r="D91" s="20" t="s">
        <v>695</v>
      </c>
      <c r="E91" s="20" t="s">
        <v>696</v>
      </c>
      <c r="F91" s="20" t="s">
        <v>697</v>
      </c>
      <c r="G91" s="20" t="s">
        <v>698</v>
      </c>
      <c r="H91" s="20" t="s">
        <v>699</v>
      </c>
      <c r="I91" s="20" t="s">
        <v>96</v>
      </c>
      <c r="J91" s="20" t="s">
        <v>97</v>
      </c>
      <c r="K91" s="20" t="s">
        <v>166</v>
      </c>
      <c r="L91" s="20" t="s">
        <v>44</v>
      </c>
      <c r="M91" s="20" t="s">
        <v>687</v>
      </c>
      <c r="N91" s="20" t="s">
        <v>700</v>
      </c>
      <c r="O91" s="20" t="s">
        <v>117</v>
      </c>
      <c r="P91" s="20">
        <v>1</v>
      </c>
      <c r="Q91" s="21">
        <v>46393.75</v>
      </c>
      <c r="R91" s="21">
        <v>46398.75</v>
      </c>
      <c r="S91" s="20">
        <f>NETWORKDAYS(Q91,R91)</f>
        <v>4</v>
      </c>
      <c r="T91" s="21" t="s">
        <v>37</v>
      </c>
      <c r="U91" s="21" t="s">
        <v>37</v>
      </c>
      <c r="V91" s="20" t="s">
        <v>102</v>
      </c>
      <c r="W91" s="22">
        <v>0</v>
      </c>
      <c r="X91" s="20" t="str">
        <f>IF(OR(V91="Completada",V91="No aplica"),"VERDE",IF(V91="Bloqueada","ROJO",IF(R91&lt;TODAY(),"ROJO",IF(AND(R91-TODAY()&lt;=7,W91&lt;1),"AMARILLO","GRIS"))))</f>
        <v>GRIS</v>
      </c>
      <c r="Y91" s="20" t="s">
        <v>37</v>
      </c>
    </row>
    <row r="92" ht="46" customHeight="1" spans="1:25" x14ac:dyDescent="0.25">
      <c r="A92" s="17" t="s">
        <v>701</v>
      </c>
      <c r="B92" s="17" t="s">
        <v>454</v>
      </c>
      <c r="C92" s="17" t="s">
        <v>45</v>
      </c>
      <c r="D92" s="17" t="s">
        <v>702</v>
      </c>
      <c r="E92" s="17" t="s">
        <v>703</v>
      </c>
      <c r="F92" s="17" t="s">
        <v>704</v>
      </c>
      <c r="G92" s="17" t="s">
        <v>705</v>
      </c>
      <c r="H92" s="17" t="s">
        <v>706</v>
      </c>
      <c r="I92" s="17" t="s">
        <v>96</v>
      </c>
      <c r="J92" s="17" t="s">
        <v>97</v>
      </c>
      <c r="K92" s="17" t="s">
        <v>166</v>
      </c>
      <c r="L92" s="17" t="s">
        <v>44</v>
      </c>
      <c r="M92" s="17" t="s">
        <v>694</v>
      </c>
      <c r="N92" s="17" t="s">
        <v>707</v>
      </c>
      <c r="O92" s="17" t="s">
        <v>168</v>
      </c>
      <c r="P92" s="17">
        <v>3</v>
      </c>
      <c r="Q92" s="18">
        <v>46399.75</v>
      </c>
      <c r="R92" s="18">
        <v>46405.75</v>
      </c>
      <c r="S92" s="17">
        <f>NETWORKDAYS(Q92,R92)</f>
        <v>5</v>
      </c>
      <c r="T92" s="18" t="s">
        <v>37</v>
      </c>
      <c r="U92" s="18" t="s">
        <v>37</v>
      </c>
      <c r="V92" s="17" t="s">
        <v>102</v>
      </c>
      <c r="W92" s="19">
        <v>0</v>
      </c>
      <c r="X92" s="17" t="str">
        <f>IF(OR(V92="Completada",V92="No aplica"),"VERDE",IF(V92="Bloqueada","ROJO",IF(R92&lt;TODAY(),"ROJO",IF(AND(R92-TODAY()&lt;=7,W92&lt;1),"AMARILLO","GRIS"))))</f>
        <v>GRIS</v>
      </c>
      <c r="Y92" s="17" t="s">
        <v>37</v>
      </c>
    </row>
    <row r="93" ht="46" customHeight="1" spans="1:25" x14ac:dyDescent="0.25">
      <c r="A93" s="20" t="s">
        <v>708</v>
      </c>
      <c r="B93" s="20" t="s">
        <v>454</v>
      </c>
      <c r="C93" s="20" t="s">
        <v>46</v>
      </c>
      <c r="D93" s="20" t="s">
        <v>709</v>
      </c>
      <c r="E93" s="20" t="s">
        <v>710</v>
      </c>
      <c r="F93" s="20" t="s">
        <v>711</v>
      </c>
      <c r="G93" s="20" t="s">
        <v>712</v>
      </c>
      <c r="H93" s="20" t="s">
        <v>713</v>
      </c>
      <c r="I93" s="20" t="s">
        <v>96</v>
      </c>
      <c r="J93" s="20" t="s">
        <v>97</v>
      </c>
      <c r="K93" s="20" t="s">
        <v>714</v>
      </c>
      <c r="L93" s="20" t="s">
        <v>233</v>
      </c>
      <c r="M93" s="20" t="s">
        <v>37</v>
      </c>
      <c r="N93" s="20" t="s">
        <v>100</v>
      </c>
      <c r="O93" s="20" t="s">
        <v>101</v>
      </c>
      <c r="P93" s="20">
        <v>2</v>
      </c>
      <c r="Q93" s="21">
        <v>46366.75</v>
      </c>
      <c r="R93" s="21">
        <v>46371.75</v>
      </c>
      <c r="S93" s="20">
        <f>NETWORKDAYS(Q93,R93)</f>
        <v>4</v>
      </c>
      <c r="T93" s="21" t="s">
        <v>37</v>
      </c>
      <c r="U93" s="21" t="s">
        <v>37</v>
      </c>
      <c r="V93" s="20" t="s">
        <v>102</v>
      </c>
      <c r="W93" s="22">
        <v>0</v>
      </c>
      <c r="X93" s="20" t="str">
        <f>IF(OR(V93="Completada",V93="No aplica"),"VERDE",IF(V93="Bloqueada","ROJO",IF(R93&lt;TODAY(),"ROJO",IF(AND(R93-TODAY()&lt;=7,W93&lt;1),"AMARILLO","GRIS"))))</f>
        <v>GRIS</v>
      </c>
      <c r="Y93" s="20" t="s">
        <v>37</v>
      </c>
    </row>
    <row r="94" ht="46" customHeight="1" spans="1:25" x14ac:dyDescent="0.25">
      <c r="A94" s="17" t="s">
        <v>715</v>
      </c>
      <c r="B94" s="17" t="s">
        <v>454</v>
      </c>
      <c r="C94" s="17" t="s">
        <v>46</v>
      </c>
      <c r="D94" s="17" t="s">
        <v>716</v>
      </c>
      <c r="E94" s="17" t="s">
        <v>717</v>
      </c>
      <c r="F94" s="17" t="s">
        <v>718</v>
      </c>
      <c r="G94" s="17" t="s">
        <v>719</v>
      </c>
      <c r="H94" s="17" t="s">
        <v>720</v>
      </c>
      <c r="I94" s="17" t="s">
        <v>96</v>
      </c>
      <c r="J94" s="17" t="s">
        <v>97</v>
      </c>
      <c r="K94" s="17" t="s">
        <v>714</v>
      </c>
      <c r="L94" s="17" t="s">
        <v>233</v>
      </c>
      <c r="M94" s="17" t="s">
        <v>708</v>
      </c>
      <c r="N94" s="17" t="s">
        <v>721</v>
      </c>
      <c r="O94" s="17" t="s">
        <v>101</v>
      </c>
      <c r="P94" s="17">
        <v>2</v>
      </c>
      <c r="Q94" s="18">
        <v>46372.75</v>
      </c>
      <c r="R94" s="18">
        <v>46374.75</v>
      </c>
      <c r="S94" s="17">
        <f>NETWORKDAYS(Q94,R94)</f>
        <v>3</v>
      </c>
      <c r="T94" s="18" t="s">
        <v>37</v>
      </c>
      <c r="U94" s="18" t="s">
        <v>37</v>
      </c>
      <c r="V94" s="17" t="s">
        <v>102</v>
      </c>
      <c r="W94" s="19">
        <v>0</v>
      </c>
      <c r="X94" s="17" t="str">
        <f>IF(OR(V94="Completada",V94="No aplica"),"VERDE",IF(V94="Bloqueada","ROJO",IF(R94&lt;TODAY(),"ROJO",IF(AND(R94-TODAY()&lt;=7,W94&lt;1),"AMARILLO","GRIS"))))</f>
        <v>GRIS</v>
      </c>
      <c r="Y94" s="17" t="s">
        <v>37</v>
      </c>
    </row>
    <row r="95" ht="46" customHeight="1" spans="1:25" x14ac:dyDescent="0.25">
      <c r="A95" s="20" t="s">
        <v>722</v>
      </c>
      <c r="B95" s="20" t="s">
        <v>454</v>
      </c>
      <c r="C95" s="20" t="s">
        <v>46</v>
      </c>
      <c r="D95" s="20" t="s">
        <v>723</v>
      </c>
      <c r="E95" s="20" t="s">
        <v>724</v>
      </c>
      <c r="F95" s="20" t="s">
        <v>725</v>
      </c>
      <c r="G95" s="20" t="s">
        <v>726</v>
      </c>
      <c r="H95" s="20" t="s">
        <v>727</v>
      </c>
      <c r="I95" s="20" t="s">
        <v>96</v>
      </c>
      <c r="J95" s="20" t="s">
        <v>97</v>
      </c>
      <c r="K95" s="20" t="s">
        <v>714</v>
      </c>
      <c r="L95" s="20" t="s">
        <v>233</v>
      </c>
      <c r="M95" s="20" t="s">
        <v>715</v>
      </c>
      <c r="N95" s="20" t="s">
        <v>728</v>
      </c>
      <c r="O95" s="20" t="s">
        <v>117</v>
      </c>
      <c r="P95" s="20">
        <v>1</v>
      </c>
      <c r="Q95" s="21">
        <v>46377.75</v>
      </c>
      <c r="R95" s="21">
        <v>46379.75</v>
      </c>
      <c r="S95" s="20">
        <f>NETWORKDAYS(Q95,R95)</f>
        <v>3</v>
      </c>
      <c r="T95" s="21" t="s">
        <v>37</v>
      </c>
      <c r="U95" s="21" t="s">
        <v>37</v>
      </c>
      <c r="V95" s="20" t="s">
        <v>102</v>
      </c>
      <c r="W95" s="22">
        <v>0</v>
      </c>
      <c r="X95" s="20" t="str">
        <f>IF(OR(V95="Completada",V95="No aplica"),"VERDE",IF(V95="Bloqueada","ROJO",IF(R95&lt;TODAY(),"ROJO",IF(AND(R95-TODAY()&lt;=7,W95&lt;1),"AMARILLO","GRIS"))))</f>
        <v>GRIS</v>
      </c>
      <c r="Y95" s="20" t="s">
        <v>37</v>
      </c>
    </row>
    <row r="96" ht="46" customHeight="1" spans="1:25" x14ac:dyDescent="0.25">
      <c r="A96" s="17" t="s">
        <v>729</v>
      </c>
      <c r="B96" s="17" t="s">
        <v>454</v>
      </c>
      <c r="C96" s="17" t="s">
        <v>46</v>
      </c>
      <c r="D96" s="17" t="s">
        <v>730</v>
      </c>
      <c r="E96" s="17" t="s">
        <v>731</v>
      </c>
      <c r="F96" s="17" t="s">
        <v>732</v>
      </c>
      <c r="G96" s="17" t="s">
        <v>733</v>
      </c>
      <c r="H96" s="17" t="s">
        <v>734</v>
      </c>
      <c r="I96" s="17" t="s">
        <v>96</v>
      </c>
      <c r="J96" s="17" t="s">
        <v>97</v>
      </c>
      <c r="K96" s="17" t="s">
        <v>714</v>
      </c>
      <c r="L96" s="17" t="s">
        <v>233</v>
      </c>
      <c r="M96" s="17" t="s">
        <v>722</v>
      </c>
      <c r="N96" s="17" t="s">
        <v>735</v>
      </c>
      <c r="O96" s="17" t="s">
        <v>117</v>
      </c>
      <c r="P96" s="17">
        <v>1</v>
      </c>
      <c r="Q96" s="18">
        <v>46380.75</v>
      </c>
      <c r="R96" s="18">
        <v>46385.75</v>
      </c>
      <c r="S96" s="17">
        <f>NETWORKDAYS(Q96,R96)</f>
        <v>4</v>
      </c>
      <c r="T96" s="18" t="s">
        <v>37</v>
      </c>
      <c r="U96" s="18" t="s">
        <v>37</v>
      </c>
      <c r="V96" s="17" t="s">
        <v>102</v>
      </c>
      <c r="W96" s="19">
        <v>0</v>
      </c>
      <c r="X96" s="17" t="str">
        <f>IF(OR(V96="Completada",V96="No aplica"),"VERDE",IF(V96="Bloqueada","ROJO",IF(R96&lt;TODAY(),"ROJO",IF(AND(R96-TODAY()&lt;=7,W96&lt;1),"AMARILLO","GRIS"))))</f>
        <v>GRIS</v>
      </c>
      <c r="Y96" s="17" t="s">
        <v>37</v>
      </c>
    </row>
    <row r="97" ht="46" customHeight="1" spans="1:25" x14ac:dyDescent="0.25">
      <c r="A97" s="20" t="s">
        <v>736</v>
      </c>
      <c r="B97" s="20" t="s">
        <v>454</v>
      </c>
      <c r="C97" s="20" t="s">
        <v>46</v>
      </c>
      <c r="D97" s="20" t="s">
        <v>737</v>
      </c>
      <c r="E97" s="20" t="s">
        <v>738</v>
      </c>
      <c r="F97" s="20" t="s">
        <v>739</v>
      </c>
      <c r="G97" s="20" t="s">
        <v>740</v>
      </c>
      <c r="H97" s="20" t="s">
        <v>741</v>
      </c>
      <c r="I97" s="20" t="s">
        <v>96</v>
      </c>
      <c r="J97" s="20" t="s">
        <v>97</v>
      </c>
      <c r="K97" s="20" t="s">
        <v>714</v>
      </c>
      <c r="L97" s="20" t="s">
        <v>233</v>
      </c>
      <c r="M97" s="20" t="s">
        <v>729</v>
      </c>
      <c r="N97" s="20" t="s">
        <v>742</v>
      </c>
      <c r="O97" s="20" t="s">
        <v>117</v>
      </c>
      <c r="P97" s="20">
        <v>1</v>
      </c>
      <c r="Q97" s="21">
        <v>46386.75</v>
      </c>
      <c r="R97" s="21">
        <v>46388.75</v>
      </c>
      <c r="S97" s="20">
        <f>NETWORKDAYS(Q97,R97)</f>
        <v>3</v>
      </c>
      <c r="T97" s="21" t="s">
        <v>37</v>
      </c>
      <c r="U97" s="21" t="s">
        <v>37</v>
      </c>
      <c r="V97" s="20" t="s">
        <v>102</v>
      </c>
      <c r="W97" s="22">
        <v>0</v>
      </c>
      <c r="X97" s="20" t="str">
        <f>IF(OR(V97="Completada",V97="No aplica"),"VERDE",IF(V97="Bloqueada","ROJO",IF(R97&lt;TODAY(),"ROJO",IF(AND(R97-TODAY()&lt;=7,W97&lt;1),"AMARILLO","GRIS"))))</f>
        <v>GRIS</v>
      </c>
      <c r="Y97" s="20" t="s">
        <v>37</v>
      </c>
    </row>
    <row r="98" ht="46" customHeight="1" spans="1:25" x14ac:dyDescent="0.25">
      <c r="A98" s="17" t="s">
        <v>743</v>
      </c>
      <c r="B98" s="17" t="s">
        <v>454</v>
      </c>
      <c r="C98" s="17" t="s">
        <v>46</v>
      </c>
      <c r="D98" s="17" t="s">
        <v>744</v>
      </c>
      <c r="E98" s="17" t="s">
        <v>745</v>
      </c>
      <c r="F98" s="17" t="s">
        <v>746</v>
      </c>
      <c r="G98" s="17" t="s">
        <v>747</v>
      </c>
      <c r="H98" s="17" t="s">
        <v>748</v>
      </c>
      <c r="I98" s="17" t="s">
        <v>96</v>
      </c>
      <c r="J98" s="17" t="s">
        <v>97</v>
      </c>
      <c r="K98" s="17" t="s">
        <v>714</v>
      </c>
      <c r="L98" s="17" t="s">
        <v>233</v>
      </c>
      <c r="M98" s="17" t="s">
        <v>736</v>
      </c>
      <c r="N98" s="17" t="s">
        <v>749</v>
      </c>
      <c r="O98" s="17" t="s">
        <v>117</v>
      </c>
      <c r="P98" s="17">
        <v>1</v>
      </c>
      <c r="Q98" s="18">
        <v>46391.75</v>
      </c>
      <c r="R98" s="18">
        <v>46393.75</v>
      </c>
      <c r="S98" s="17">
        <f>NETWORKDAYS(Q98,R98)</f>
        <v>3</v>
      </c>
      <c r="T98" s="18" t="s">
        <v>37</v>
      </c>
      <c r="U98" s="18" t="s">
        <v>37</v>
      </c>
      <c r="V98" s="17" t="s">
        <v>102</v>
      </c>
      <c r="W98" s="19">
        <v>0</v>
      </c>
      <c r="X98" s="17" t="str">
        <f>IF(OR(V98="Completada",V98="No aplica"),"VERDE",IF(V98="Bloqueada","ROJO",IF(R98&lt;TODAY(),"ROJO",IF(AND(R98-TODAY()&lt;=7,W98&lt;1),"AMARILLO","GRIS"))))</f>
        <v>GRIS</v>
      </c>
      <c r="Y98" s="17" t="s">
        <v>37</v>
      </c>
    </row>
    <row r="99" ht="46" customHeight="1" spans="1:25" x14ac:dyDescent="0.25">
      <c r="A99" s="20" t="s">
        <v>750</v>
      </c>
      <c r="B99" s="20" t="s">
        <v>454</v>
      </c>
      <c r="C99" s="20" t="s">
        <v>46</v>
      </c>
      <c r="D99" s="20" t="s">
        <v>751</v>
      </c>
      <c r="E99" s="20" t="s">
        <v>752</v>
      </c>
      <c r="F99" s="20" t="s">
        <v>753</v>
      </c>
      <c r="G99" s="20" t="s">
        <v>754</v>
      </c>
      <c r="H99" s="20" t="s">
        <v>755</v>
      </c>
      <c r="I99" s="20" t="s">
        <v>96</v>
      </c>
      <c r="J99" s="20" t="s">
        <v>97</v>
      </c>
      <c r="K99" s="20" t="s">
        <v>714</v>
      </c>
      <c r="L99" s="20" t="s">
        <v>233</v>
      </c>
      <c r="M99" s="20" t="s">
        <v>743</v>
      </c>
      <c r="N99" s="20" t="s">
        <v>756</v>
      </c>
      <c r="O99" s="20" t="s">
        <v>117</v>
      </c>
      <c r="P99" s="20">
        <v>1</v>
      </c>
      <c r="Q99" s="21">
        <v>46394.75</v>
      </c>
      <c r="R99" s="21">
        <v>46399.75</v>
      </c>
      <c r="S99" s="20">
        <f>NETWORKDAYS(Q99,R99)</f>
        <v>4</v>
      </c>
      <c r="T99" s="21" t="s">
        <v>37</v>
      </c>
      <c r="U99" s="21" t="s">
        <v>37</v>
      </c>
      <c r="V99" s="20" t="s">
        <v>102</v>
      </c>
      <c r="W99" s="22">
        <v>0</v>
      </c>
      <c r="X99" s="20" t="str">
        <f>IF(OR(V99="Completada",V99="No aplica"),"VERDE",IF(V99="Bloqueada","ROJO",IF(R99&lt;TODAY(),"ROJO",IF(AND(R99-TODAY()&lt;=7,W99&lt;1),"AMARILLO","GRIS"))))</f>
        <v>GRIS</v>
      </c>
      <c r="Y99" s="20" t="s">
        <v>37</v>
      </c>
    </row>
    <row r="100" ht="46" customHeight="1" spans="1:25" x14ac:dyDescent="0.25">
      <c r="A100" s="17" t="s">
        <v>757</v>
      </c>
      <c r="B100" s="17" t="s">
        <v>454</v>
      </c>
      <c r="C100" s="17" t="s">
        <v>46</v>
      </c>
      <c r="D100" s="17" t="s">
        <v>758</v>
      </c>
      <c r="E100" s="17" t="s">
        <v>759</v>
      </c>
      <c r="F100" s="17" t="s">
        <v>760</v>
      </c>
      <c r="G100" s="17" t="s">
        <v>761</v>
      </c>
      <c r="H100" s="17" t="s">
        <v>762</v>
      </c>
      <c r="I100" s="17" t="s">
        <v>96</v>
      </c>
      <c r="J100" s="17" t="s">
        <v>97</v>
      </c>
      <c r="K100" s="17" t="s">
        <v>714</v>
      </c>
      <c r="L100" s="17" t="s">
        <v>233</v>
      </c>
      <c r="M100" s="17" t="s">
        <v>750</v>
      </c>
      <c r="N100" s="17" t="s">
        <v>763</v>
      </c>
      <c r="O100" s="17" t="s">
        <v>101</v>
      </c>
      <c r="P100" s="17">
        <v>2</v>
      </c>
      <c r="Q100" s="18">
        <v>46400.75</v>
      </c>
      <c r="R100" s="18">
        <v>46402.75</v>
      </c>
      <c r="S100" s="17">
        <f>NETWORKDAYS(Q100,R100)</f>
        <v>3</v>
      </c>
      <c r="T100" s="18" t="s">
        <v>37</v>
      </c>
      <c r="U100" s="18" t="s">
        <v>37</v>
      </c>
      <c r="V100" s="17" t="s">
        <v>102</v>
      </c>
      <c r="W100" s="19">
        <v>0</v>
      </c>
      <c r="X100" s="17" t="str">
        <f>IF(OR(V100="Completada",V100="No aplica"),"VERDE",IF(V100="Bloqueada","ROJO",IF(R100&lt;TODAY(),"ROJO",IF(AND(R100-TODAY()&lt;=7,W100&lt;1),"AMARILLO","GRIS"))))</f>
        <v>GRIS</v>
      </c>
      <c r="Y100" s="17" t="s">
        <v>37</v>
      </c>
    </row>
    <row r="101" ht="46" customHeight="1" spans="1:25" x14ac:dyDescent="0.25">
      <c r="A101" s="20" t="s">
        <v>764</v>
      </c>
      <c r="B101" s="20" t="s">
        <v>454</v>
      </c>
      <c r="C101" s="20" t="s">
        <v>46</v>
      </c>
      <c r="D101" s="20" t="s">
        <v>765</v>
      </c>
      <c r="E101" s="20" t="s">
        <v>766</v>
      </c>
      <c r="F101" s="20" t="s">
        <v>767</v>
      </c>
      <c r="G101" s="20" t="s">
        <v>768</v>
      </c>
      <c r="H101" s="20" t="s">
        <v>769</v>
      </c>
      <c r="I101" s="20" t="s">
        <v>96</v>
      </c>
      <c r="J101" s="20" t="s">
        <v>97</v>
      </c>
      <c r="K101" s="20" t="s">
        <v>714</v>
      </c>
      <c r="L101" s="20" t="s">
        <v>233</v>
      </c>
      <c r="M101" s="20" t="s">
        <v>757</v>
      </c>
      <c r="N101" s="20" t="s">
        <v>770</v>
      </c>
      <c r="O101" s="20" t="s">
        <v>117</v>
      </c>
      <c r="P101" s="20">
        <v>1</v>
      </c>
      <c r="Q101" s="21">
        <v>46405.75</v>
      </c>
      <c r="R101" s="21">
        <v>46407.75</v>
      </c>
      <c r="S101" s="20">
        <f>NETWORKDAYS(Q101,R101)</f>
        <v>3</v>
      </c>
      <c r="T101" s="21" t="s">
        <v>37</v>
      </c>
      <c r="U101" s="21" t="s">
        <v>37</v>
      </c>
      <c r="V101" s="20" t="s">
        <v>102</v>
      </c>
      <c r="W101" s="22">
        <v>0</v>
      </c>
      <c r="X101" s="20" t="str">
        <f>IF(OR(V101="Completada",V101="No aplica"),"VERDE",IF(V101="Bloqueada","ROJO",IF(R101&lt;TODAY(),"ROJO",IF(AND(R101-TODAY()&lt;=7,W101&lt;1),"AMARILLO","GRIS"))))</f>
        <v>GRIS</v>
      </c>
      <c r="Y101" s="20" t="s">
        <v>37</v>
      </c>
    </row>
    <row r="102" ht="46" customHeight="1" spans="1:25" x14ac:dyDescent="0.25">
      <c r="A102" s="17" t="s">
        <v>771</v>
      </c>
      <c r="B102" s="17" t="s">
        <v>454</v>
      </c>
      <c r="C102" s="17" t="s">
        <v>46</v>
      </c>
      <c r="D102" s="17" t="s">
        <v>772</v>
      </c>
      <c r="E102" s="17" t="s">
        <v>773</v>
      </c>
      <c r="F102" s="17" t="s">
        <v>774</v>
      </c>
      <c r="G102" s="17" t="s">
        <v>775</v>
      </c>
      <c r="H102" s="17" t="s">
        <v>776</v>
      </c>
      <c r="I102" s="17" t="s">
        <v>96</v>
      </c>
      <c r="J102" s="17" t="s">
        <v>97</v>
      </c>
      <c r="K102" s="17" t="s">
        <v>714</v>
      </c>
      <c r="L102" s="17" t="s">
        <v>233</v>
      </c>
      <c r="M102" s="17" t="s">
        <v>764</v>
      </c>
      <c r="N102" s="17" t="s">
        <v>777</v>
      </c>
      <c r="O102" s="17" t="s">
        <v>117</v>
      </c>
      <c r="P102" s="17">
        <v>1</v>
      </c>
      <c r="Q102" s="18">
        <v>46408.75</v>
      </c>
      <c r="R102" s="18">
        <v>46413.75</v>
      </c>
      <c r="S102" s="17">
        <f>NETWORKDAYS(Q102,R102)</f>
        <v>4</v>
      </c>
      <c r="T102" s="18" t="s">
        <v>37</v>
      </c>
      <c r="U102" s="18" t="s">
        <v>37</v>
      </c>
      <c r="V102" s="17" t="s">
        <v>102</v>
      </c>
      <c r="W102" s="19">
        <v>0</v>
      </c>
      <c r="X102" s="17" t="str">
        <f>IF(OR(V102="Completada",V102="No aplica"),"VERDE",IF(V102="Bloqueada","ROJO",IF(R102&lt;TODAY(),"ROJO",IF(AND(R102-TODAY()&lt;=7,W102&lt;1),"AMARILLO","GRIS"))))</f>
        <v>GRIS</v>
      </c>
      <c r="Y102" s="17" t="s">
        <v>37</v>
      </c>
    </row>
    <row r="103" ht="46" customHeight="1" spans="1:25" x14ac:dyDescent="0.25">
      <c r="A103" s="20" t="s">
        <v>778</v>
      </c>
      <c r="B103" s="20" t="s">
        <v>779</v>
      </c>
      <c r="C103" s="20" t="s">
        <v>47</v>
      </c>
      <c r="D103" s="20" t="s">
        <v>780</v>
      </c>
      <c r="E103" s="20" t="s">
        <v>781</v>
      </c>
      <c r="F103" s="20" t="s">
        <v>782</v>
      </c>
      <c r="G103" s="20" t="s">
        <v>783</v>
      </c>
      <c r="H103" s="20" t="s">
        <v>784</v>
      </c>
      <c r="I103" s="20" t="s">
        <v>96</v>
      </c>
      <c r="J103" s="20" t="s">
        <v>97</v>
      </c>
      <c r="K103" s="20" t="s">
        <v>296</v>
      </c>
      <c r="L103" s="20" t="s">
        <v>785</v>
      </c>
      <c r="M103" s="20" t="s">
        <v>37</v>
      </c>
      <c r="N103" s="20" t="s">
        <v>100</v>
      </c>
      <c r="O103" s="20" t="s">
        <v>101</v>
      </c>
      <c r="P103" s="20">
        <v>2</v>
      </c>
      <c r="Q103" s="21">
        <v>46395.75</v>
      </c>
      <c r="R103" s="21">
        <v>46400.75</v>
      </c>
      <c r="S103" s="20">
        <f>NETWORKDAYS(Q103,R103)</f>
        <v>4</v>
      </c>
      <c r="T103" s="21" t="s">
        <v>37</v>
      </c>
      <c r="U103" s="21" t="s">
        <v>37</v>
      </c>
      <c r="V103" s="20" t="s">
        <v>102</v>
      </c>
      <c r="W103" s="22">
        <v>0</v>
      </c>
      <c r="X103" s="20" t="str">
        <f>IF(OR(V103="Completada",V103="No aplica"),"VERDE",IF(V103="Bloqueada","ROJO",IF(R103&lt;TODAY(),"ROJO",IF(AND(R103-TODAY()&lt;=7,W103&lt;1),"AMARILLO","GRIS"))))</f>
        <v>GRIS</v>
      </c>
      <c r="Y103" s="20" t="s">
        <v>37</v>
      </c>
    </row>
    <row r="104" ht="46" customHeight="1" spans="1:25" x14ac:dyDescent="0.25">
      <c r="A104" s="17" t="s">
        <v>786</v>
      </c>
      <c r="B104" s="17" t="s">
        <v>779</v>
      </c>
      <c r="C104" s="17" t="s">
        <v>47</v>
      </c>
      <c r="D104" s="17" t="s">
        <v>787</v>
      </c>
      <c r="E104" s="17" t="s">
        <v>788</v>
      </c>
      <c r="F104" s="17" t="s">
        <v>789</v>
      </c>
      <c r="G104" s="17" t="s">
        <v>790</v>
      </c>
      <c r="H104" s="17" t="s">
        <v>791</v>
      </c>
      <c r="I104" s="17" t="s">
        <v>96</v>
      </c>
      <c r="J104" s="17" t="s">
        <v>97</v>
      </c>
      <c r="K104" s="17" t="s">
        <v>296</v>
      </c>
      <c r="L104" s="17" t="s">
        <v>785</v>
      </c>
      <c r="M104" s="17" t="s">
        <v>778</v>
      </c>
      <c r="N104" s="17" t="s">
        <v>792</v>
      </c>
      <c r="O104" s="17" t="s">
        <v>101</v>
      </c>
      <c r="P104" s="17">
        <v>2</v>
      </c>
      <c r="Q104" s="18">
        <v>46401.75</v>
      </c>
      <c r="R104" s="18">
        <v>46405.75</v>
      </c>
      <c r="S104" s="17">
        <f>NETWORKDAYS(Q104,R104)</f>
        <v>3</v>
      </c>
      <c r="T104" s="18" t="s">
        <v>37</v>
      </c>
      <c r="U104" s="18" t="s">
        <v>37</v>
      </c>
      <c r="V104" s="17" t="s">
        <v>102</v>
      </c>
      <c r="W104" s="19">
        <v>0</v>
      </c>
      <c r="X104" s="17" t="str">
        <f>IF(OR(V104="Completada",V104="No aplica"),"VERDE",IF(V104="Bloqueada","ROJO",IF(R104&lt;TODAY(),"ROJO",IF(AND(R104-TODAY()&lt;=7,W104&lt;1),"AMARILLO","GRIS"))))</f>
        <v>GRIS</v>
      </c>
      <c r="Y104" s="17" t="s">
        <v>37</v>
      </c>
    </row>
    <row r="105" ht="46" customHeight="1" spans="1:25" x14ac:dyDescent="0.25">
      <c r="A105" s="20" t="s">
        <v>793</v>
      </c>
      <c r="B105" s="20" t="s">
        <v>779</v>
      </c>
      <c r="C105" s="20" t="s">
        <v>47</v>
      </c>
      <c r="D105" s="20" t="s">
        <v>794</v>
      </c>
      <c r="E105" s="20" t="s">
        <v>795</v>
      </c>
      <c r="F105" s="20" t="s">
        <v>796</v>
      </c>
      <c r="G105" s="20" t="s">
        <v>797</v>
      </c>
      <c r="H105" s="20" t="s">
        <v>798</v>
      </c>
      <c r="I105" s="20" t="s">
        <v>96</v>
      </c>
      <c r="J105" s="20" t="s">
        <v>97</v>
      </c>
      <c r="K105" s="20" t="s">
        <v>296</v>
      </c>
      <c r="L105" s="20" t="s">
        <v>785</v>
      </c>
      <c r="M105" s="20" t="s">
        <v>786</v>
      </c>
      <c r="N105" s="20" t="s">
        <v>799</v>
      </c>
      <c r="O105" s="20" t="s">
        <v>117</v>
      </c>
      <c r="P105" s="20">
        <v>1</v>
      </c>
      <c r="Q105" s="21">
        <v>46406.75</v>
      </c>
      <c r="R105" s="21">
        <v>46408.75</v>
      </c>
      <c r="S105" s="20">
        <f>NETWORKDAYS(Q105,R105)</f>
        <v>3</v>
      </c>
      <c r="T105" s="21" t="s">
        <v>37</v>
      </c>
      <c r="U105" s="21" t="s">
        <v>37</v>
      </c>
      <c r="V105" s="20" t="s">
        <v>102</v>
      </c>
      <c r="W105" s="22">
        <v>0</v>
      </c>
      <c r="X105" s="20" t="str">
        <f>IF(OR(V105="Completada",V105="No aplica"),"VERDE",IF(V105="Bloqueada","ROJO",IF(R105&lt;TODAY(),"ROJO",IF(AND(R105-TODAY()&lt;=7,W105&lt;1),"AMARILLO","GRIS"))))</f>
        <v>GRIS</v>
      </c>
      <c r="Y105" s="20" t="s">
        <v>37</v>
      </c>
    </row>
    <row r="106" ht="46" customHeight="1" spans="1:25" x14ac:dyDescent="0.25">
      <c r="A106" s="17" t="s">
        <v>800</v>
      </c>
      <c r="B106" s="17" t="s">
        <v>779</v>
      </c>
      <c r="C106" s="17" t="s">
        <v>47</v>
      </c>
      <c r="D106" s="17" t="s">
        <v>801</v>
      </c>
      <c r="E106" s="17" t="s">
        <v>802</v>
      </c>
      <c r="F106" s="17" t="s">
        <v>803</v>
      </c>
      <c r="G106" s="17" t="s">
        <v>804</v>
      </c>
      <c r="H106" s="17" t="s">
        <v>805</v>
      </c>
      <c r="I106" s="17" t="s">
        <v>96</v>
      </c>
      <c r="J106" s="17" t="s">
        <v>97</v>
      </c>
      <c r="K106" s="17" t="s">
        <v>296</v>
      </c>
      <c r="L106" s="17" t="s">
        <v>785</v>
      </c>
      <c r="M106" s="17" t="s">
        <v>793</v>
      </c>
      <c r="N106" s="17" t="s">
        <v>806</v>
      </c>
      <c r="O106" s="17" t="s">
        <v>117</v>
      </c>
      <c r="P106" s="17">
        <v>1</v>
      </c>
      <c r="Q106" s="18">
        <v>46409.75</v>
      </c>
      <c r="R106" s="18">
        <v>46414.75</v>
      </c>
      <c r="S106" s="17">
        <f>NETWORKDAYS(Q106,R106)</f>
        <v>4</v>
      </c>
      <c r="T106" s="18" t="s">
        <v>37</v>
      </c>
      <c r="U106" s="18" t="s">
        <v>37</v>
      </c>
      <c r="V106" s="17" t="s">
        <v>102</v>
      </c>
      <c r="W106" s="19">
        <v>0</v>
      </c>
      <c r="X106" s="17" t="str">
        <f>IF(OR(V106="Completada",V106="No aplica"),"VERDE",IF(V106="Bloqueada","ROJO",IF(R106&lt;TODAY(),"ROJO",IF(AND(R106-TODAY()&lt;=7,W106&lt;1),"AMARILLO","GRIS"))))</f>
        <v>GRIS</v>
      </c>
      <c r="Y106" s="17" t="s">
        <v>37</v>
      </c>
    </row>
    <row r="107" ht="46" customHeight="1" spans="1:25" x14ac:dyDescent="0.25">
      <c r="A107" s="20" t="s">
        <v>807</v>
      </c>
      <c r="B107" s="20" t="s">
        <v>779</v>
      </c>
      <c r="C107" s="20" t="s">
        <v>47</v>
      </c>
      <c r="D107" s="20" t="s">
        <v>808</v>
      </c>
      <c r="E107" s="20" t="s">
        <v>809</v>
      </c>
      <c r="F107" s="20" t="s">
        <v>810</v>
      </c>
      <c r="G107" s="20" t="s">
        <v>811</v>
      </c>
      <c r="H107" s="20" t="s">
        <v>812</v>
      </c>
      <c r="I107" s="20" t="s">
        <v>96</v>
      </c>
      <c r="J107" s="20" t="s">
        <v>97</v>
      </c>
      <c r="K107" s="20" t="s">
        <v>296</v>
      </c>
      <c r="L107" s="20" t="s">
        <v>785</v>
      </c>
      <c r="M107" s="20" t="s">
        <v>800</v>
      </c>
      <c r="N107" s="20" t="s">
        <v>813</v>
      </c>
      <c r="O107" s="20" t="s">
        <v>101</v>
      </c>
      <c r="P107" s="20">
        <v>2</v>
      </c>
      <c r="Q107" s="21">
        <v>46415.75</v>
      </c>
      <c r="R107" s="21">
        <v>46419.75</v>
      </c>
      <c r="S107" s="20">
        <f>NETWORKDAYS(Q107,R107)</f>
        <v>3</v>
      </c>
      <c r="T107" s="21" t="s">
        <v>37</v>
      </c>
      <c r="U107" s="21" t="s">
        <v>37</v>
      </c>
      <c r="V107" s="20" t="s">
        <v>102</v>
      </c>
      <c r="W107" s="22">
        <v>0</v>
      </c>
      <c r="X107" s="20" t="str">
        <f>IF(OR(V107="Completada",V107="No aplica"),"VERDE",IF(V107="Bloqueada","ROJO",IF(R107&lt;TODAY(),"ROJO",IF(AND(R107-TODAY()&lt;=7,W107&lt;1),"AMARILLO","GRIS"))))</f>
        <v>GRIS</v>
      </c>
      <c r="Y107" s="20" t="s">
        <v>37</v>
      </c>
    </row>
    <row r="108" ht="46" customHeight="1" spans="1:25" x14ac:dyDescent="0.25">
      <c r="A108" s="17" t="s">
        <v>814</v>
      </c>
      <c r="B108" s="17" t="s">
        <v>779</v>
      </c>
      <c r="C108" s="17" t="s">
        <v>47</v>
      </c>
      <c r="D108" s="17" t="s">
        <v>815</v>
      </c>
      <c r="E108" s="17" t="s">
        <v>816</v>
      </c>
      <c r="F108" s="17" t="s">
        <v>817</v>
      </c>
      <c r="G108" s="17" t="s">
        <v>818</v>
      </c>
      <c r="H108" s="17" t="s">
        <v>819</v>
      </c>
      <c r="I108" s="17" t="s">
        <v>96</v>
      </c>
      <c r="J108" s="17" t="s">
        <v>97</v>
      </c>
      <c r="K108" s="17" t="s">
        <v>296</v>
      </c>
      <c r="L108" s="17" t="s">
        <v>785</v>
      </c>
      <c r="M108" s="17" t="s">
        <v>807</v>
      </c>
      <c r="N108" s="17" t="s">
        <v>820</v>
      </c>
      <c r="O108" s="17" t="s">
        <v>117</v>
      </c>
      <c r="P108" s="17">
        <v>1</v>
      </c>
      <c r="Q108" s="18">
        <v>46420.75</v>
      </c>
      <c r="R108" s="18">
        <v>46422.75</v>
      </c>
      <c r="S108" s="17">
        <f>NETWORKDAYS(Q108,R108)</f>
        <v>3</v>
      </c>
      <c r="T108" s="18" t="s">
        <v>37</v>
      </c>
      <c r="U108" s="18" t="s">
        <v>37</v>
      </c>
      <c r="V108" s="17" t="s">
        <v>102</v>
      </c>
      <c r="W108" s="19">
        <v>0</v>
      </c>
      <c r="X108" s="17" t="str">
        <f>IF(OR(V108="Completada",V108="No aplica"),"VERDE",IF(V108="Bloqueada","ROJO",IF(R108&lt;TODAY(),"ROJO",IF(AND(R108-TODAY()&lt;=7,W108&lt;1),"AMARILLO","GRIS"))))</f>
        <v>GRIS</v>
      </c>
      <c r="Y108" s="17" t="s">
        <v>37</v>
      </c>
    </row>
    <row r="109" ht="46" customHeight="1" spans="1:25" x14ac:dyDescent="0.25">
      <c r="A109" s="20" t="s">
        <v>821</v>
      </c>
      <c r="B109" s="20" t="s">
        <v>779</v>
      </c>
      <c r="C109" s="20" t="s">
        <v>47</v>
      </c>
      <c r="D109" s="20" t="s">
        <v>822</v>
      </c>
      <c r="E109" s="20" t="s">
        <v>823</v>
      </c>
      <c r="F109" s="20" t="s">
        <v>824</v>
      </c>
      <c r="G109" s="20" t="s">
        <v>825</v>
      </c>
      <c r="H109" s="20" t="s">
        <v>826</v>
      </c>
      <c r="I109" s="20" t="s">
        <v>96</v>
      </c>
      <c r="J109" s="20" t="s">
        <v>97</v>
      </c>
      <c r="K109" s="20" t="s">
        <v>296</v>
      </c>
      <c r="L109" s="20" t="s">
        <v>785</v>
      </c>
      <c r="M109" s="20" t="s">
        <v>814</v>
      </c>
      <c r="N109" s="20" t="s">
        <v>827</v>
      </c>
      <c r="O109" s="20" t="s">
        <v>101</v>
      </c>
      <c r="P109" s="20">
        <v>2</v>
      </c>
      <c r="Q109" s="21">
        <v>46423.75</v>
      </c>
      <c r="R109" s="21">
        <v>46428.75</v>
      </c>
      <c r="S109" s="20">
        <f>NETWORKDAYS(Q109,R109)</f>
        <v>4</v>
      </c>
      <c r="T109" s="21" t="s">
        <v>37</v>
      </c>
      <c r="U109" s="21" t="s">
        <v>37</v>
      </c>
      <c r="V109" s="20" t="s">
        <v>102</v>
      </c>
      <c r="W109" s="22">
        <v>0</v>
      </c>
      <c r="X109" s="20" t="str">
        <f>IF(OR(V109="Completada",V109="No aplica"),"VERDE",IF(V109="Bloqueada","ROJO",IF(R109&lt;TODAY(),"ROJO",IF(AND(R109-TODAY()&lt;=7,W109&lt;1),"AMARILLO","GRIS"))))</f>
        <v>GRIS</v>
      </c>
      <c r="Y109" s="20" t="s">
        <v>37</v>
      </c>
    </row>
    <row r="110" ht="46" customHeight="1" spans="1:25" x14ac:dyDescent="0.25">
      <c r="A110" s="17" t="s">
        <v>828</v>
      </c>
      <c r="B110" s="17" t="s">
        <v>779</v>
      </c>
      <c r="C110" s="17" t="s">
        <v>47</v>
      </c>
      <c r="D110" s="17" t="s">
        <v>829</v>
      </c>
      <c r="E110" s="17" t="s">
        <v>830</v>
      </c>
      <c r="F110" s="17" t="s">
        <v>831</v>
      </c>
      <c r="G110" s="17" t="s">
        <v>832</v>
      </c>
      <c r="H110" s="17" t="s">
        <v>833</v>
      </c>
      <c r="I110" s="17" t="s">
        <v>96</v>
      </c>
      <c r="J110" s="17" t="s">
        <v>97</v>
      </c>
      <c r="K110" s="17" t="s">
        <v>296</v>
      </c>
      <c r="L110" s="17" t="s">
        <v>785</v>
      </c>
      <c r="M110" s="17" t="s">
        <v>821</v>
      </c>
      <c r="N110" s="17" t="s">
        <v>834</v>
      </c>
      <c r="O110" s="17" t="s">
        <v>117</v>
      </c>
      <c r="P110" s="17">
        <v>1</v>
      </c>
      <c r="Q110" s="18">
        <v>46429.75</v>
      </c>
      <c r="R110" s="18">
        <v>46433.75</v>
      </c>
      <c r="S110" s="17">
        <f>NETWORKDAYS(Q110,R110)</f>
        <v>3</v>
      </c>
      <c r="T110" s="18" t="s">
        <v>37</v>
      </c>
      <c r="U110" s="18" t="s">
        <v>37</v>
      </c>
      <c r="V110" s="17" t="s">
        <v>102</v>
      </c>
      <c r="W110" s="19">
        <v>0</v>
      </c>
      <c r="X110" s="17" t="str">
        <f>IF(OR(V110="Completada",V110="No aplica"),"VERDE",IF(V110="Bloqueada","ROJO",IF(R110&lt;TODAY(),"ROJO",IF(AND(R110-TODAY()&lt;=7,W110&lt;1),"AMARILLO","GRIS"))))</f>
        <v>GRIS</v>
      </c>
      <c r="Y110" s="17" t="s">
        <v>37</v>
      </c>
    </row>
    <row r="111" ht="46" customHeight="1" spans="1:25" x14ac:dyDescent="0.25">
      <c r="A111" s="20" t="s">
        <v>835</v>
      </c>
      <c r="B111" s="20" t="s">
        <v>779</v>
      </c>
      <c r="C111" s="20" t="s">
        <v>47</v>
      </c>
      <c r="D111" s="20" t="s">
        <v>836</v>
      </c>
      <c r="E111" s="20" t="s">
        <v>837</v>
      </c>
      <c r="F111" s="20" t="s">
        <v>838</v>
      </c>
      <c r="G111" s="20" t="s">
        <v>839</v>
      </c>
      <c r="H111" s="20" t="s">
        <v>840</v>
      </c>
      <c r="I111" s="20" t="s">
        <v>96</v>
      </c>
      <c r="J111" s="20" t="s">
        <v>97</v>
      </c>
      <c r="K111" s="20" t="s">
        <v>296</v>
      </c>
      <c r="L111" s="20" t="s">
        <v>785</v>
      </c>
      <c r="M111" s="20" t="s">
        <v>828</v>
      </c>
      <c r="N111" s="20" t="s">
        <v>841</v>
      </c>
      <c r="O111" s="20" t="s">
        <v>117</v>
      </c>
      <c r="P111" s="20">
        <v>1</v>
      </c>
      <c r="Q111" s="21">
        <v>46434.75</v>
      </c>
      <c r="R111" s="21">
        <v>46436.75</v>
      </c>
      <c r="S111" s="20">
        <f>NETWORKDAYS(Q111,R111)</f>
        <v>3</v>
      </c>
      <c r="T111" s="21" t="s">
        <v>37</v>
      </c>
      <c r="U111" s="21" t="s">
        <v>37</v>
      </c>
      <c r="V111" s="20" t="s">
        <v>102</v>
      </c>
      <c r="W111" s="22">
        <v>0</v>
      </c>
      <c r="X111" s="20" t="str">
        <f>IF(OR(V111="Completada",V111="No aplica"),"VERDE",IF(V111="Bloqueada","ROJO",IF(R111&lt;TODAY(),"ROJO",IF(AND(R111-TODAY()&lt;=7,W111&lt;1),"AMARILLO","GRIS"))))</f>
        <v>GRIS</v>
      </c>
      <c r="Y111" s="20" t="s">
        <v>37</v>
      </c>
    </row>
    <row r="112" ht="46" customHeight="1" spans="1:25" x14ac:dyDescent="0.25">
      <c r="A112" s="17" t="s">
        <v>842</v>
      </c>
      <c r="B112" s="17" t="s">
        <v>779</v>
      </c>
      <c r="C112" s="17" t="s">
        <v>47</v>
      </c>
      <c r="D112" s="17" t="s">
        <v>843</v>
      </c>
      <c r="E112" s="17" t="s">
        <v>844</v>
      </c>
      <c r="F112" s="17" t="s">
        <v>845</v>
      </c>
      <c r="G112" s="17" t="s">
        <v>846</v>
      </c>
      <c r="H112" s="17" t="s">
        <v>847</v>
      </c>
      <c r="I112" s="17" t="s">
        <v>96</v>
      </c>
      <c r="J112" s="17" t="s">
        <v>97</v>
      </c>
      <c r="K112" s="17" t="s">
        <v>296</v>
      </c>
      <c r="L112" s="17" t="s">
        <v>785</v>
      </c>
      <c r="M112" s="17" t="s">
        <v>835</v>
      </c>
      <c r="N112" s="17" t="s">
        <v>848</v>
      </c>
      <c r="O112" s="17" t="s">
        <v>101</v>
      </c>
      <c r="P112" s="17">
        <v>2</v>
      </c>
      <c r="Q112" s="18">
        <v>46437.75</v>
      </c>
      <c r="R112" s="18">
        <v>46442.75</v>
      </c>
      <c r="S112" s="17">
        <f>NETWORKDAYS(Q112,R112)</f>
        <v>4</v>
      </c>
      <c r="T112" s="18" t="s">
        <v>37</v>
      </c>
      <c r="U112" s="18" t="s">
        <v>37</v>
      </c>
      <c r="V112" s="17" t="s">
        <v>102</v>
      </c>
      <c r="W112" s="19">
        <v>0</v>
      </c>
      <c r="X112" s="17" t="str">
        <f>IF(OR(V112="Completada",V112="No aplica"),"VERDE",IF(V112="Bloqueada","ROJO",IF(R112&lt;TODAY(),"ROJO",IF(AND(R112-TODAY()&lt;=7,W112&lt;1),"AMARILLO","GRIS"))))</f>
        <v>GRIS</v>
      </c>
      <c r="Y112" s="17" t="s">
        <v>37</v>
      </c>
    </row>
    <row r="113" ht="46" customHeight="1" spans="1:25" x14ac:dyDescent="0.25">
      <c r="A113" s="20" t="s">
        <v>849</v>
      </c>
      <c r="B113" s="20" t="s">
        <v>779</v>
      </c>
      <c r="C113" s="20" t="s">
        <v>47</v>
      </c>
      <c r="D113" s="20" t="s">
        <v>850</v>
      </c>
      <c r="E113" s="20" t="s">
        <v>851</v>
      </c>
      <c r="F113" s="20" t="s">
        <v>852</v>
      </c>
      <c r="G113" s="20" t="s">
        <v>853</v>
      </c>
      <c r="H113" s="20" t="s">
        <v>854</v>
      </c>
      <c r="I113" s="20" t="s">
        <v>96</v>
      </c>
      <c r="J113" s="20" t="s">
        <v>97</v>
      </c>
      <c r="K113" s="20" t="s">
        <v>296</v>
      </c>
      <c r="L113" s="20" t="s">
        <v>785</v>
      </c>
      <c r="M113" s="20" t="s">
        <v>842</v>
      </c>
      <c r="N113" s="20" t="s">
        <v>855</v>
      </c>
      <c r="O113" s="20" t="s">
        <v>101</v>
      </c>
      <c r="P113" s="20">
        <v>2</v>
      </c>
      <c r="Q113" s="21">
        <v>46443.75</v>
      </c>
      <c r="R113" s="21">
        <v>46447.75</v>
      </c>
      <c r="S113" s="20">
        <f>NETWORKDAYS(Q113,R113)</f>
        <v>3</v>
      </c>
      <c r="T113" s="21" t="s">
        <v>37</v>
      </c>
      <c r="U113" s="21" t="s">
        <v>37</v>
      </c>
      <c r="V113" s="20" t="s">
        <v>102</v>
      </c>
      <c r="W113" s="22">
        <v>0</v>
      </c>
      <c r="X113" s="20" t="str">
        <f>IF(OR(V113="Completada",V113="No aplica"),"VERDE",IF(V113="Bloqueada","ROJO",IF(R113&lt;TODAY(),"ROJO",IF(AND(R113-TODAY()&lt;=7,W113&lt;1),"AMARILLO","GRIS"))))</f>
        <v>GRIS</v>
      </c>
      <c r="Y113" s="20" t="s">
        <v>37</v>
      </c>
    </row>
    <row r="114" ht="46" customHeight="1" spans="1:25" x14ac:dyDescent="0.25">
      <c r="A114" s="17" t="s">
        <v>856</v>
      </c>
      <c r="B114" s="17" t="s">
        <v>779</v>
      </c>
      <c r="C114" s="17" t="s">
        <v>47</v>
      </c>
      <c r="D114" s="17" t="s">
        <v>857</v>
      </c>
      <c r="E114" s="17" t="s">
        <v>858</v>
      </c>
      <c r="F114" s="17" t="s">
        <v>859</v>
      </c>
      <c r="G114" s="17" t="s">
        <v>860</v>
      </c>
      <c r="H114" s="17" t="s">
        <v>861</v>
      </c>
      <c r="I114" s="17" t="s">
        <v>96</v>
      </c>
      <c r="J114" s="17" t="s">
        <v>97</v>
      </c>
      <c r="K114" s="17" t="s">
        <v>296</v>
      </c>
      <c r="L114" s="17" t="s">
        <v>785</v>
      </c>
      <c r="M114" s="17" t="s">
        <v>849</v>
      </c>
      <c r="N114" s="17" t="s">
        <v>862</v>
      </c>
      <c r="O114" s="17" t="s">
        <v>117</v>
      </c>
      <c r="P114" s="17">
        <v>1</v>
      </c>
      <c r="Q114" s="18">
        <v>46448.75</v>
      </c>
      <c r="R114" s="18">
        <v>46450.75</v>
      </c>
      <c r="S114" s="17">
        <f>NETWORKDAYS(Q114,R114)</f>
        <v>3</v>
      </c>
      <c r="T114" s="18" t="s">
        <v>37</v>
      </c>
      <c r="U114" s="18" t="s">
        <v>37</v>
      </c>
      <c r="V114" s="17" t="s">
        <v>102</v>
      </c>
      <c r="W114" s="19">
        <v>0</v>
      </c>
      <c r="X114" s="17" t="str">
        <f>IF(OR(V114="Completada",V114="No aplica"),"VERDE",IF(V114="Bloqueada","ROJO",IF(R114&lt;TODAY(),"ROJO",IF(AND(R114-TODAY()&lt;=7,W114&lt;1),"AMARILLO","GRIS"))))</f>
        <v>GRIS</v>
      </c>
      <c r="Y114" s="17" t="s">
        <v>37</v>
      </c>
    </row>
    <row r="115" ht="46" customHeight="1" spans="1:25" x14ac:dyDescent="0.25">
      <c r="A115" s="20" t="s">
        <v>863</v>
      </c>
      <c r="B115" s="20" t="s">
        <v>779</v>
      </c>
      <c r="C115" s="20" t="s">
        <v>47</v>
      </c>
      <c r="D115" s="20" t="s">
        <v>864</v>
      </c>
      <c r="E115" s="20" t="s">
        <v>865</v>
      </c>
      <c r="F115" s="20" t="s">
        <v>866</v>
      </c>
      <c r="G115" s="20" t="s">
        <v>867</v>
      </c>
      <c r="H115" s="20" t="s">
        <v>868</v>
      </c>
      <c r="I115" s="20" t="s">
        <v>96</v>
      </c>
      <c r="J115" s="20" t="s">
        <v>97</v>
      </c>
      <c r="K115" s="20" t="s">
        <v>296</v>
      </c>
      <c r="L115" s="20" t="s">
        <v>785</v>
      </c>
      <c r="M115" s="20" t="s">
        <v>856</v>
      </c>
      <c r="N115" s="20" t="s">
        <v>869</v>
      </c>
      <c r="O115" s="20" t="s">
        <v>101</v>
      </c>
      <c r="P115" s="20">
        <v>2</v>
      </c>
      <c r="Q115" s="21">
        <v>46451.75</v>
      </c>
      <c r="R115" s="21">
        <v>46456.75</v>
      </c>
      <c r="S115" s="20">
        <f>NETWORKDAYS(Q115,R115)</f>
        <v>4</v>
      </c>
      <c r="T115" s="21" t="s">
        <v>37</v>
      </c>
      <c r="U115" s="21" t="s">
        <v>37</v>
      </c>
      <c r="V115" s="20" t="s">
        <v>102</v>
      </c>
      <c r="W115" s="22">
        <v>0</v>
      </c>
      <c r="X115" s="20" t="str">
        <f>IF(OR(V115="Completada",V115="No aplica"),"VERDE",IF(V115="Bloqueada","ROJO",IF(R115&lt;TODAY(),"ROJO",IF(AND(R115-TODAY()&lt;=7,W115&lt;1),"AMARILLO","GRIS"))))</f>
        <v>GRIS</v>
      </c>
      <c r="Y115" s="20" t="s">
        <v>37</v>
      </c>
    </row>
    <row r="116" ht="46" customHeight="1" spans="1:25" x14ac:dyDescent="0.25">
      <c r="A116" s="17" t="s">
        <v>870</v>
      </c>
      <c r="B116" s="17" t="s">
        <v>779</v>
      </c>
      <c r="C116" s="17" t="s">
        <v>47</v>
      </c>
      <c r="D116" s="17" t="s">
        <v>871</v>
      </c>
      <c r="E116" s="17" t="s">
        <v>872</v>
      </c>
      <c r="F116" s="17" t="s">
        <v>873</v>
      </c>
      <c r="G116" s="17" t="s">
        <v>874</v>
      </c>
      <c r="H116" s="17" t="s">
        <v>875</v>
      </c>
      <c r="I116" s="17" t="s">
        <v>96</v>
      </c>
      <c r="J116" s="17" t="s">
        <v>97</v>
      </c>
      <c r="K116" s="17" t="s">
        <v>296</v>
      </c>
      <c r="L116" s="17" t="s">
        <v>785</v>
      </c>
      <c r="M116" s="17" t="s">
        <v>863</v>
      </c>
      <c r="N116" s="17" t="s">
        <v>876</v>
      </c>
      <c r="O116" s="17" t="s">
        <v>117</v>
      </c>
      <c r="P116" s="17">
        <v>1</v>
      </c>
      <c r="Q116" s="18">
        <v>46457.75</v>
      </c>
      <c r="R116" s="18">
        <v>46461.75</v>
      </c>
      <c r="S116" s="17">
        <f>NETWORKDAYS(Q116,R116)</f>
        <v>3</v>
      </c>
      <c r="T116" s="18" t="s">
        <v>37</v>
      </c>
      <c r="U116" s="18" t="s">
        <v>37</v>
      </c>
      <c r="V116" s="17" t="s">
        <v>102</v>
      </c>
      <c r="W116" s="19">
        <v>0</v>
      </c>
      <c r="X116" s="17" t="str">
        <f>IF(OR(V116="Completada",V116="No aplica"),"VERDE",IF(V116="Bloqueada","ROJO",IF(R116&lt;TODAY(),"ROJO",IF(AND(R116-TODAY()&lt;=7,W116&lt;1),"AMARILLO","GRIS"))))</f>
        <v>GRIS</v>
      </c>
      <c r="Y116" s="17" t="s">
        <v>37</v>
      </c>
    </row>
    <row r="117" ht="46" customHeight="1" spans="1:25" x14ac:dyDescent="0.25">
      <c r="A117" s="20" t="s">
        <v>877</v>
      </c>
      <c r="B117" s="20" t="s">
        <v>779</v>
      </c>
      <c r="C117" s="20" t="s">
        <v>48</v>
      </c>
      <c r="D117" s="20" t="s">
        <v>878</v>
      </c>
      <c r="E117" s="20" t="s">
        <v>879</v>
      </c>
      <c r="F117" s="20" t="s">
        <v>880</v>
      </c>
      <c r="G117" s="20" t="s">
        <v>881</v>
      </c>
      <c r="H117" s="20" t="s">
        <v>882</v>
      </c>
      <c r="I117" s="20" t="s">
        <v>96</v>
      </c>
      <c r="J117" s="20" t="s">
        <v>97</v>
      </c>
      <c r="K117" s="20" t="s">
        <v>296</v>
      </c>
      <c r="L117" s="20" t="s">
        <v>883</v>
      </c>
      <c r="M117" s="20" t="s">
        <v>37</v>
      </c>
      <c r="N117" s="20" t="s">
        <v>100</v>
      </c>
      <c r="O117" s="20" t="s">
        <v>101</v>
      </c>
      <c r="P117" s="20">
        <v>2</v>
      </c>
      <c r="Q117" s="21">
        <v>46391.75</v>
      </c>
      <c r="R117" s="21">
        <v>46394.75</v>
      </c>
      <c r="S117" s="20">
        <f>NETWORKDAYS(Q117,R117)</f>
        <v>4</v>
      </c>
      <c r="T117" s="21" t="s">
        <v>37</v>
      </c>
      <c r="U117" s="21" t="s">
        <v>37</v>
      </c>
      <c r="V117" s="20" t="s">
        <v>102</v>
      </c>
      <c r="W117" s="22">
        <v>0</v>
      </c>
      <c r="X117" s="20" t="str">
        <f>IF(OR(V117="Completada",V117="No aplica"),"VERDE",IF(V117="Bloqueada","ROJO",IF(R117&lt;TODAY(),"ROJO",IF(AND(R117-TODAY()&lt;=7,W117&lt;1),"AMARILLO","GRIS"))))</f>
        <v>GRIS</v>
      </c>
      <c r="Y117" s="20" t="s">
        <v>37</v>
      </c>
    </row>
    <row r="118" ht="46" customHeight="1" spans="1:25" x14ac:dyDescent="0.25">
      <c r="A118" s="17" t="s">
        <v>884</v>
      </c>
      <c r="B118" s="17" t="s">
        <v>779</v>
      </c>
      <c r="C118" s="17" t="s">
        <v>48</v>
      </c>
      <c r="D118" s="17" t="s">
        <v>885</v>
      </c>
      <c r="E118" s="17" t="s">
        <v>886</v>
      </c>
      <c r="F118" s="17" t="s">
        <v>887</v>
      </c>
      <c r="G118" s="17" t="s">
        <v>888</v>
      </c>
      <c r="H118" s="17" t="s">
        <v>889</v>
      </c>
      <c r="I118" s="17" t="s">
        <v>96</v>
      </c>
      <c r="J118" s="17" t="s">
        <v>97</v>
      </c>
      <c r="K118" s="17" t="s">
        <v>296</v>
      </c>
      <c r="L118" s="17" t="s">
        <v>883</v>
      </c>
      <c r="M118" s="17" t="s">
        <v>877</v>
      </c>
      <c r="N118" s="17" t="s">
        <v>890</v>
      </c>
      <c r="O118" s="17" t="s">
        <v>101</v>
      </c>
      <c r="P118" s="17">
        <v>2</v>
      </c>
      <c r="Q118" s="18">
        <v>46395.75</v>
      </c>
      <c r="R118" s="18">
        <v>46399.75</v>
      </c>
      <c r="S118" s="17">
        <f>NETWORKDAYS(Q118,R118)</f>
        <v>3</v>
      </c>
      <c r="T118" s="18" t="s">
        <v>37</v>
      </c>
      <c r="U118" s="18" t="s">
        <v>37</v>
      </c>
      <c r="V118" s="17" t="s">
        <v>102</v>
      </c>
      <c r="W118" s="19">
        <v>0</v>
      </c>
      <c r="X118" s="17" t="str">
        <f>IF(OR(V118="Completada",V118="No aplica"),"VERDE",IF(V118="Bloqueada","ROJO",IF(R118&lt;TODAY(),"ROJO",IF(AND(R118-TODAY()&lt;=7,W118&lt;1),"AMARILLO","GRIS"))))</f>
        <v>GRIS</v>
      </c>
      <c r="Y118" s="17" t="s">
        <v>37</v>
      </c>
    </row>
    <row r="119" ht="46" customHeight="1" spans="1:25" x14ac:dyDescent="0.25">
      <c r="A119" s="20" t="s">
        <v>891</v>
      </c>
      <c r="B119" s="20" t="s">
        <v>779</v>
      </c>
      <c r="C119" s="20" t="s">
        <v>48</v>
      </c>
      <c r="D119" s="20" t="s">
        <v>892</v>
      </c>
      <c r="E119" s="20" t="s">
        <v>893</v>
      </c>
      <c r="F119" s="20" t="s">
        <v>894</v>
      </c>
      <c r="G119" s="20" t="s">
        <v>895</v>
      </c>
      <c r="H119" s="20" t="s">
        <v>896</v>
      </c>
      <c r="I119" s="20" t="s">
        <v>96</v>
      </c>
      <c r="J119" s="20" t="s">
        <v>97</v>
      </c>
      <c r="K119" s="20" t="s">
        <v>296</v>
      </c>
      <c r="L119" s="20" t="s">
        <v>883</v>
      </c>
      <c r="M119" s="20" t="s">
        <v>884</v>
      </c>
      <c r="N119" s="20" t="s">
        <v>897</v>
      </c>
      <c r="O119" s="20" t="s">
        <v>117</v>
      </c>
      <c r="P119" s="20">
        <v>1</v>
      </c>
      <c r="Q119" s="21">
        <v>46400.75</v>
      </c>
      <c r="R119" s="21">
        <v>46402.75</v>
      </c>
      <c r="S119" s="20">
        <f>NETWORKDAYS(Q119,R119)</f>
        <v>3</v>
      </c>
      <c r="T119" s="21" t="s">
        <v>37</v>
      </c>
      <c r="U119" s="21" t="s">
        <v>37</v>
      </c>
      <c r="V119" s="20" t="s">
        <v>102</v>
      </c>
      <c r="W119" s="22">
        <v>0</v>
      </c>
      <c r="X119" s="20" t="str">
        <f>IF(OR(V119="Completada",V119="No aplica"),"VERDE",IF(V119="Bloqueada","ROJO",IF(R119&lt;TODAY(),"ROJO",IF(AND(R119-TODAY()&lt;=7,W119&lt;1),"AMARILLO","GRIS"))))</f>
        <v>GRIS</v>
      </c>
      <c r="Y119" s="20" t="s">
        <v>37</v>
      </c>
    </row>
    <row r="120" ht="46" customHeight="1" spans="1:25" x14ac:dyDescent="0.25">
      <c r="A120" s="17" t="s">
        <v>898</v>
      </c>
      <c r="B120" s="17" t="s">
        <v>779</v>
      </c>
      <c r="C120" s="17" t="s">
        <v>48</v>
      </c>
      <c r="D120" s="17" t="s">
        <v>899</v>
      </c>
      <c r="E120" s="17" t="s">
        <v>900</v>
      </c>
      <c r="F120" s="17" t="s">
        <v>901</v>
      </c>
      <c r="G120" s="17" t="s">
        <v>902</v>
      </c>
      <c r="H120" s="17" t="s">
        <v>903</v>
      </c>
      <c r="I120" s="17" t="s">
        <v>96</v>
      </c>
      <c r="J120" s="17" t="s">
        <v>97</v>
      </c>
      <c r="K120" s="17" t="s">
        <v>296</v>
      </c>
      <c r="L120" s="17" t="s">
        <v>883</v>
      </c>
      <c r="M120" s="17" t="s">
        <v>891</v>
      </c>
      <c r="N120" s="17" t="s">
        <v>904</v>
      </c>
      <c r="O120" s="17" t="s">
        <v>117</v>
      </c>
      <c r="P120" s="17">
        <v>1</v>
      </c>
      <c r="Q120" s="18">
        <v>46405.75</v>
      </c>
      <c r="R120" s="18">
        <v>46408.75</v>
      </c>
      <c r="S120" s="17">
        <f>NETWORKDAYS(Q120,R120)</f>
        <v>4</v>
      </c>
      <c r="T120" s="18" t="s">
        <v>37</v>
      </c>
      <c r="U120" s="18" t="s">
        <v>37</v>
      </c>
      <c r="V120" s="17" t="s">
        <v>102</v>
      </c>
      <c r="W120" s="19">
        <v>0</v>
      </c>
      <c r="X120" s="17" t="str">
        <f>IF(OR(V120="Completada",V120="No aplica"),"VERDE",IF(V120="Bloqueada","ROJO",IF(R120&lt;TODAY(),"ROJO",IF(AND(R120-TODAY()&lt;=7,W120&lt;1),"AMARILLO","GRIS"))))</f>
        <v>GRIS</v>
      </c>
      <c r="Y120" s="17" t="s">
        <v>37</v>
      </c>
    </row>
    <row r="121" ht="46" customHeight="1" spans="1:25" x14ac:dyDescent="0.25">
      <c r="A121" s="20" t="s">
        <v>905</v>
      </c>
      <c r="B121" s="20" t="s">
        <v>779</v>
      </c>
      <c r="C121" s="20" t="s">
        <v>48</v>
      </c>
      <c r="D121" s="20" t="s">
        <v>906</v>
      </c>
      <c r="E121" s="20" t="s">
        <v>907</v>
      </c>
      <c r="F121" s="20" t="s">
        <v>908</v>
      </c>
      <c r="G121" s="20" t="s">
        <v>909</v>
      </c>
      <c r="H121" s="20" t="s">
        <v>910</v>
      </c>
      <c r="I121" s="20" t="s">
        <v>96</v>
      </c>
      <c r="J121" s="20" t="s">
        <v>97</v>
      </c>
      <c r="K121" s="20" t="s">
        <v>296</v>
      </c>
      <c r="L121" s="20" t="s">
        <v>883</v>
      </c>
      <c r="M121" s="20" t="s">
        <v>898</v>
      </c>
      <c r="N121" s="20" t="s">
        <v>911</v>
      </c>
      <c r="O121" s="20" t="s">
        <v>101</v>
      </c>
      <c r="P121" s="20">
        <v>2</v>
      </c>
      <c r="Q121" s="21">
        <v>46409.75</v>
      </c>
      <c r="R121" s="21">
        <v>46413.75</v>
      </c>
      <c r="S121" s="20">
        <f>NETWORKDAYS(Q121,R121)</f>
        <v>3</v>
      </c>
      <c r="T121" s="21" t="s">
        <v>37</v>
      </c>
      <c r="U121" s="21" t="s">
        <v>37</v>
      </c>
      <c r="V121" s="20" t="s">
        <v>102</v>
      </c>
      <c r="W121" s="22">
        <v>0</v>
      </c>
      <c r="X121" s="20" t="str">
        <f>IF(OR(V121="Completada",V121="No aplica"),"VERDE",IF(V121="Bloqueada","ROJO",IF(R121&lt;TODAY(),"ROJO",IF(AND(R121-TODAY()&lt;=7,W121&lt;1),"AMARILLO","GRIS"))))</f>
        <v>GRIS</v>
      </c>
      <c r="Y121" s="20" t="s">
        <v>37</v>
      </c>
    </row>
    <row r="122" ht="46" customHeight="1" spans="1:25" x14ac:dyDescent="0.25">
      <c r="A122" s="17" t="s">
        <v>912</v>
      </c>
      <c r="B122" s="17" t="s">
        <v>779</v>
      </c>
      <c r="C122" s="17" t="s">
        <v>48</v>
      </c>
      <c r="D122" s="17" t="s">
        <v>913</v>
      </c>
      <c r="E122" s="17" t="s">
        <v>914</v>
      </c>
      <c r="F122" s="17" t="s">
        <v>915</v>
      </c>
      <c r="G122" s="17" t="s">
        <v>916</v>
      </c>
      <c r="H122" s="17" t="s">
        <v>917</v>
      </c>
      <c r="I122" s="17" t="s">
        <v>96</v>
      </c>
      <c r="J122" s="17" t="s">
        <v>97</v>
      </c>
      <c r="K122" s="17" t="s">
        <v>296</v>
      </c>
      <c r="L122" s="17" t="s">
        <v>883</v>
      </c>
      <c r="M122" s="17" t="s">
        <v>905</v>
      </c>
      <c r="N122" s="17" t="s">
        <v>918</v>
      </c>
      <c r="O122" s="17" t="s">
        <v>101</v>
      </c>
      <c r="P122" s="17">
        <v>2</v>
      </c>
      <c r="Q122" s="18">
        <v>46414.75</v>
      </c>
      <c r="R122" s="18">
        <v>46416.75</v>
      </c>
      <c r="S122" s="17">
        <f>NETWORKDAYS(Q122,R122)</f>
        <v>3</v>
      </c>
      <c r="T122" s="18" t="s">
        <v>37</v>
      </c>
      <c r="U122" s="18" t="s">
        <v>37</v>
      </c>
      <c r="V122" s="17" t="s">
        <v>102</v>
      </c>
      <c r="W122" s="19">
        <v>0</v>
      </c>
      <c r="X122" s="17" t="str">
        <f>IF(OR(V122="Completada",V122="No aplica"),"VERDE",IF(V122="Bloqueada","ROJO",IF(R122&lt;TODAY(),"ROJO",IF(AND(R122-TODAY()&lt;=7,W122&lt;1),"AMARILLO","GRIS"))))</f>
        <v>GRIS</v>
      </c>
      <c r="Y122" s="17" t="s">
        <v>37</v>
      </c>
    </row>
    <row r="123" ht="46" customHeight="1" spans="1:25" x14ac:dyDescent="0.25">
      <c r="A123" s="20" t="s">
        <v>919</v>
      </c>
      <c r="B123" s="20" t="s">
        <v>779</v>
      </c>
      <c r="C123" s="20" t="s">
        <v>48</v>
      </c>
      <c r="D123" s="20" t="s">
        <v>920</v>
      </c>
      <c r="E123" s="20" t="s">
        <v>921</v>
      </c>
      <c r="F123" s="20" t="s">
        <v>922</v>
      </c>
      <c r="G123" s="20" t="s">
        <v>923</v>
      </c>
      <c r="H123" s="20" t="s">
        <v>924</v>
      </c>
      <c r="I123" s="20" t="s">
        <v>96</v>
      </c>
      <c r="J123" s="20" t="s">
        <v>97</v>
      </c>
      <c r="K123" s="20" t="s">
        <v>296</v>
      </c>
      <c r="L123" s="20" t="s">
        <v>883</v>
      </c>
      <c r="M123" s="20" t="s">
        <v>912</v>
      </c>
      <c r="N123" s="20" t="s">
        <v>925</v>
      </c>
      <c r="O123" s="20" t="s">
        <v>101</v>
      </c>
      <c r="P123" s="20">
        <v>2</v>
      </c>
      <c r="Q123" s="21">
        <v>46419.75</v>
      </c>
      <c r="R123" s="21">
        <v>46422.75</v>
      </c>
      <c r="S123" s="20">
        <f>NETWORKDAYS(Q123,R123)</f>
        <v>4</v>
      </c>
      <c r="T123" s="21" t="s">
        <v>37</v>
      </c>
      <c r="U123" s="21" t="s">
        <v>37</v>
      </c>
      <c r="V123" s="20" t="s">
        <v>102</v>
      </c>
      <c r="W123" s="22">
        <v>0</v>
      </c>
      <c r="X123" s="20" t="str">
        <f>IF(OR(V123="Completada",V123="No aplica"),"VERDE",IF(V123="Bloqueada","ROJO",IF(R123&lt;TODAY(),"ROJO",IF(AND(R123-TODAY()&lt;=7,W123&lt;1),"AMARILLO","GRIS"))))</f>
        <v>GRIS</v>
      </c>
      <c r="Y123" s="20" t="s">
        <v>37</v>
      </c>
    </row>
    <row r="124" ht="46" customHeight="1" spans="1:25" x14ac:dyDescent="0.25">
      <c r="A124" s="17" t="s">
        <v>926</v>
      </c>
      <c r="B124" s="17" t="s">
        <v>779</v>
      </c>
      <c r="C124" s="17" t="s">
        <v>48</v>
      </c>
      <c r="D124" s="17" t="s">
        <v>927</v>
      </c>
      <c r="E124" s="17" t="s">
        <v>928</v>
      </c>
      <c r="F124" s="17" t="s">
        <v>929</v>
      </c>
      <c r="G124" s="17" t="s">
        <v>930</v>
      </c>
      <c r="H124" s="17" t="s">
        <v>931</v>
      </c>
      <c r="I124" s="17" t="s">
        <v>96</v>
      </c>
      <c r="J124" s="17" t="s">
        <v>97</v>
      </c>
      <c r="K124" s="17" t="s">
        <v>296</v>
      </c>
      <c r="L124" s="17" t="s">
        <v>883</v>
      </c>
      <c r="M124" s="17" t="s">
        <v>919</v>
      </c>
      <c r="N124" s="17" t="s">
        <v>932</v>
      </c>
      <c r="O124" s="17" t="s">
        <v>101</v>
      </c>
      <c r="P124" s="17">
        <v>2</v>
      </c>
      <c r="Q124" s="18">
        <v>46423.75</v>
      </c>
      <c r="R124" s="18">
        <v>46427.75</v>
      </c>
      <c r="S124" s="17">
        <f>NETWORKDAYS(Q124,R124)</f>
        <v>3</v>
      </c>
      <c r="T124" s="18" t="s">
        <v>37</v>
      </c>
      <c r="U124" s="18" t="s">
        <v>37</v>
      </c>
      <c r="V124" s="17" t="s">
        <v>102</v>
      </c>
      <c r="W124" s="19">
        <v>0</v>
      </c>
      <c r="X124" s="17" t="str">
        <f>IF(OR(V124="Completada",V124="No aplica"),"VERDE",IF(V124="Bloqueada","ROJO",IF(R124&lt;TODAY(),"ROJO",IF(AND(R124-TODAY()&lt;=7,W124&lt;1),"AMARILLO","GRIS"))))</f>
        <v>GRIS</v>
      </c>
      <c r="Y124" s="17" t="s">
        <v>37</v>
      </c>
    </row>
    <row r="125" ht="46" customHeight="1" spans="1:25" x14ac:dyDescent="0.25">
      <c r="A125" s="20" t="s">
        <v>933</v>
      </c>
      <c r="B125" s="20" t="s">
        <v>779</v>
      </c>
      <c r="C125" s="20" t="s">
        <v>48</v>
      </c>
      <c r="D125" s="20" t="s">
        <v>934</v>
      </c>
      <c r="E125" s="20" t="s">
        <v>935</v>
      </c>
      <c r="F125" s="20" t="s">
        <v>936</v>
      </c>
      <c r="G125" s="20" t="s">
        <v>937</v>
      </c>
      <c r="H125" s="20" t="s">
        <v>938</v>
      </c>
      <c r="I125" s="20" t="s">
        <v>96</v>
      </c>
      <c r="J125" s="20" t="s">
        <v>97</v>
      </c>
      <c r="K125" s="20" t="s">
        <v>296</v>
      </c>
      <c r="L125" s="20" t="s">
        <v>883</v>
      </c>
      <c r="M125" s="20" t="s">
        <v>926</v>
      </c>
      <c r="N125" s="20" t="s">
        <v>939</v>
      </c>
      <c r="O125" s="20" t="s">
        <v>101</v>
      </c>
      <c r="P125" s="20">
        <v>2</v>
      </c>
      <c r="Q125" s="21">
        <v>46428.75</v>
      </c>
      <c r="R125" s="21">
        <v>46430.75</v>
      </c>
      <c r="S125" s="20">
        <f>NETWORKDAYS(Q125,R125)</f>
        <v>3</v>
      </c>
      <c r="T125" s="21" t="s">
        <v>37</v>
      </c>
      <c r="U125" s="21" t="s">
        <v>37</v>
      </c>
      <c r="V125" s="20" t="s">
        <v>102</v>
      </c>
      <c r="W125" s="22">
        <v>0</v>
      </c>
      <c r="X125" s="20" t="str">
        <f>IF(OR(V125="Completada",V125="No aplica"),"VERDE",IF(V125="Bloqueada","ROJO",IF(R125&lt;TODAY(),"ROJO",IF(AND(R125-TODAY()&lt;=7,W125&lt;1),"AMARILLO","GRIS"))))</f>
        <v>GRIS</v>
      </c>
      <c r="Y125" s="20" t="s">
        <v>37</v>
      </c>
    </row>
    <row r="126" ht="46" customHeight="1" spans="1:25" x14ac:dyDescent="0.25">
      <c r="A126" s="17" t="s">
        <v>940</v>
      </c>
      <c r="B126" s="17" t="s">
        <v>779</v>
      </c>
      <c r="C126" s="17" t="s">
        <v>48</v>
      </c>
      <c r="D126" s="17" t="s">
        <v>941</v>
      </c>
      <c r="E126" s="17" t="s">
        <v>942</v>
      </c>
      <c r="F126" s="17" t="s">
        <v>943</v>
      </c>
      <c r="G126" s="17" t="s">
        <v>944</v>
      </c>
      <c r="H126" s="17" t="s">
        <v>945</v>
      </c>
      <c r="I126" s="17" t="s">
        <v>96</v>
      </c>
      <c r="J126" s="17" t="s">
        <v>97</v>
      </c>
      <c r="K126" s="17" t="s">
        <v>296</v>
      </c>
      <c r="L126" s="17" t="s">
        <v>883</v>
      </c>
      <c r="M126" s="17" t="s">
        <v>933</v>
      </c>
      <c r="N126" s="17" t="s">
        <v>946</v>
      </c>
      <c r="O126" s="17" t="s">
        <v>117</v>
      </c>
      <c r="P126" s="17">
        <v>1</v>
      </c>
      <c r="Q126" s="18">
        <v>46433.75</v>
      </c>
      <c r="R126" s="18">
        <v>46436.75</v>
      </c>
      <c r="S126" s="17">
        <f>NETWORKDAYS(Q126,R126)</f>
        <v>4</v>
      </c>
      <c r="T126" s="18" t="s">
        <v>37</v>
      </c>
      <c r="U126" s="18" t="s">
        <v>37</v>
      </c>
      <c r="V126" s="17" t="s">
        <v>102</v>
      </c>
      <c r="W126" s="19">
        <v>0</v>
      </c>
      <c r="X126" s="17" t="str">
        <f>IF(OR(V126="Completada",V126="No aplica"),"VERDE",IF(V126="Bloqueada","ROJO",IF(R126&lt;TODAY(),"ROJO",IF(AND(R126-TODAY()&lt;=7,W126&lt;1),"AMARILLO","GRIS"))))</f>
        <v>GRIS</v>
      </c>
      <c r="Y126" s="17" t="s">
        <v>37</v>
      </c>
    </row>
    <row r="127" ht="46" customHeight="1" spans="1:25" x14ac:dyDescent="0.25">
      <c r="A127" s="20" t="s">
        <v>947</v>
      </c>
      <c r="B127" s="20" t="s">
        <v>779</v>
      </c>
      <c r="C127" s="20" t="s">
        <v>48</v>
      </c>
      <c r="D127" s="20" t="s">
        <v>948</v>
      </c>
      <c r="E127" s="20" t="s">
        <v>949</v>
      </c>
      <c r="F127" s="20" t="s">
        <v>950</v>
      </c>
      <c r="G127" s="20" t="s">
        <v>951</v>
      </c>
      <c r="H127" s="20" t="s">
        <v>952</v>
      </c>
      <c r="I127" s="20" t="s">
        <v>96</v>
      </c>
      <c r="J127" s="20" t="s">
        <v>97</v>
      </c>
      <c r="K127" s="20" t="s">
        <v>296</v>
      </c>
      <c r="L127" s="20" t="s">
        <v>883</v>
      </c>
      <c r="M127" s="20" t="s">
        <v>940</v>
      </c>
      <c r="N127" s="20" t="s">
        <v>953</v>
      </c>
      <c r="O127" s="20" t="s">
        <v>117</v>
      </c>
      <c r="P127" s="20">
        <v>1</v>
      </c>
      <c r="Q127" s="21">
        <v>46437.75</v>
      </c>
      <c r="R127" s="21">
        <v>46441.75</v>
      </c>
      <c r="S127" s="20">
        <f>NETWORKDAYS(Q127,R127)</f>
        <v>3</v>
      </c>
      <c r="T127" s="21" t="s">
        <v>37</v>
      </c>
      <c r="U127" s="21" t="s">
        <v>37</v>
      </c>
      <c r="V127" s="20" t="s">
        <v>102</v>
      </c>
      <c r="W127" s="22">
        <v>0</v>
      </c>
      <c r="X127" s="20" t="str">
        <f>IF(OR(V127="Completada",V127="No aplica"),"VERDE",IF(V127="Bloqueada","ROJO",IF(R127&lt;TODAY(),"ROJO",IF(AND(R127-TODAY()&lt;=7,W127&lt;1),"AMARILLO","GRIS"))))</f>
        <v>GRIS</v>
      </c>
      <c r="Y127" s="20" t="s">
        <v>37</v>
      </c>
    </row>
    <row r="128" ht="46" customHeight="1" spans="1:25" x14ac:dyDescent="0.25">
      <c r="A128" s="17" t="s">
        <v>954</v>
      </c>
      <c r="B128" s="17" t="s">
        <v>779</v>
      </c>
      <c r="C128" s="17" t="s">
        <v>48</v>
      </c>
      <c r="D128" s="17" t="s">
        <v>836</v>
      </c>
      <c r="E128" s="17" t="s">
        <v>837</v>
      </c>
      <c r="F128" s="17" t="s">
        <v>838</v>
      </c>
      <c r="G128" s="17" t="s">
        <v>839</v>
      </c>
      <c r="H128" s="17" t="s">
        <v>840</v>
      </c>
      <c r="I128" s="17" t="s">
        <v>96</v>
      </c>
      <c r="J128" s="17" t="s">
        <v>97</v>
      </c>
      <c r="K128" s="17" t="s">
        <v>296</v>
      </c>
      <c r="L128" s="17" t="s">
        <v>883</v>
      </c>
      <c r="M128" s="17" t="s">
        <v>947</v>
      </c>
      <c r="N128" s="17" t="s">
        <v>955</v>
      </c>
      <c r="O128" s="17" t="s">
        <v>117</v>
      </c>
      <c r="P128" s="17">
        <v>1</v>
      </c>
      <c r="Q128" s="18">
        <v>46442.75</v>
      </c>
      <c r="R128" s="18">
        <v>46444.75</v>
      </c>
      <c r="S128" s="17">
        <f>NETWORKDAYS(Q128,R128)</f>
        <v>3</v>
      </c>
      <c r="T128" s="18" t="s">
        <v>37</v>
      </c>
      <c r="U128" s="18" t="s">
        <v>37</v>
      </c>
      <c r="V128" s="17" t="s">
        <v>102</v>
      </c>
      <c r="W128" s="19">
        <v>0</v>
      </c>
      <c r="X128" s="17" t="str">
        <f>IF(OR(V128="Completada",V128="No aplica"),"VERDE",IF(V128="Bloqueada","ROJO",IF(R128&lt;TODAY(),"ROJO",IF(AND(R128-TODAY()&lt;=7,W128&lt;1),"AMARILLO","GRIS"))))</f>
        <v>GRIS</v>
      </c>
      <c r="Y128" s="17" t="s">
        <v>37</v>
      </c>
    </row>
    <row r="129" ht="46" customHeight="1" spans="1:25" x14ac:dyDescent="0.25">
      <c r="A129" s="20" t="s">
        <v>956</v>
      </c>
      <c r="B129" s="20" t="s">
        <v>779</v>
      </c>
      <c r="C129" s="20" t="s">
        <v>48</v>
      </c>
      <c r="D129" s="20" t="s">
        <v>957</v>
      </c>
      <c r="E129" s="20" t="s">
        <v>958</v>
      </c>
      <c r="F129" s="20" t="s">
        <v>959</v>
      </c>
      <c r="G129" s="20" t="s">
        <v>960</v>
      </c>
      <c r="H129" s="20" t="s">
        <v>961</v>
      </c>
      <c r="I129" s="20" t="s">
        <v>96</v>
      </c>
      <c r="J129" s="20" t="s">
        <v>97</v>
      </c>
      <c r="K129" s="20" t="s">
        <v>296</v>
      </c>
      <c r="L129" s="20" t="s">
        <v>883</v>
      </c>
      <c r="M129" s="20" t="s">
        <v>954</v>
      </c>
      <c r="N129" s="20" t="s">
        <v>962</v>
      </c>
      <c r="O129" s="20" t="s">
        <v>101</v>
      </c>
      <c r="P129" s="20">
        <v>2</v>
      </c>
      <c r="Q129" s="21">
        <v>46447.75</v>
      </c>
      <c r="R129" s="21">
        <v>46450.75</v>
      </c>
      <c r="S129" s="20">
        <f>NETWORKDAYS(Q129,R129)</f>
        <v>4</v>
      </c>
      <c r="T129" s="21" t="s">
        <v>37</v>
      </c>
      <c r="U129" s="21" t="s">
        <v>37</v>
      </c>
      <c r="V129" s="20" t="s">
        <v>102</v>
      </c>
      <c r="W129" s="22">
        <v>0</v>
      </c>
      <c r="X129" s="20" t="str">
        <f>IF(OR(V129="Completada",V129="No aplica"),"VERDE",IF(V129="Bloqueada","ROJO",IF(R129&lt;TODAY(),"ROJO",IF(AND(R129-TODAY()&lt;=7,W129&lt;1),"AMARILLO","GRIS"))))</f>
        <v>GRIS</v>
      </c>
      <c r="Y129" s="20" t="s">
        <v>37</v>
      </c>
    </row>
    <row r="130" ht="46" customHeight="1" spans="1:25" x14ac:dyDescent="0.25">
      <c r="A130" s="17" t="s">
        <v>963</v>
      </c>
      <c r="B130" s="17" t="s">
        <v>779</v>
      </c>
      <c r="C130" s="17" t="s">
        <v>48</v>
      </c>
      <c r="D130" s="17" t="s">
        <v>964</v>
      </c>
      <c r="E130" s="17" t="s">
        <v>965</v>
      </c>
      <c r="F130" s="17" t="s">
        <v>966</v>
      </c>
      <c r="G130" s="17" t="s">
        <v>967</v>
      </c>
      <c r="H130" s="17" t="s">
        <v>968</v>
      </c>
      <c r="I130" s="17" t="s">
        <v>96</v>
      </c>
      <c r="J130" s="17" t="s">
        <v>97</v>
      </c>
      <c r="K130" s="17" t="s">
        <v>296</v>
      </c>
      <c r="L130" s="17" t="s">
        <v>883</v>
      </c>
      <c r="M130" s="17" t="s">
        <v>956</v>
      </c>
      <c r="N130" s="17" t="s">
        <v>969</v>
      </c>
      <c r="O130" s="17" t="s">
        <v>101</v>
      </c>
      <c r="P130" s="17">
        <v>2</v>
      </c>
      <c r="Q130" s="18">
        <v>46451.75</v>
      </c>
      <c r="R130" s="18">
        <v>46455.75</v>
      </c>
      <c r="S130" s="17">
        <f>NETWORKDAYS(Q130,R130)</f>
        <v>3</v>
      </c>
      <c r="T130" s="18" t="s">
        <v>37</v>
      </c>
      <c r="U130" s="18" t="s">
        <v>37</v>
      </c>
      <c r="V130" s="17" t="s">
        <v>102</v>
      </c>
      <c r="W130" s="19">
        <v>0</v>
      </c>
      <c r="X130" s="17" t="str">
        <f>IF(OR(V130="Completada",V130="No aplica"),"VERDE",IF(V130="Bloqueada","ROJO",IF(R130&lt;TODAY(),"ROJO",IF(AND(R130-TODAY()&lt;=7,W130&lt;1),"AMARILLO","GRIS"))))</f>
        <v>GRIS</v>
      </c>
      <c r="Y130" s="17" t="s">
        <v>37</v>
      </c>
    </row>
    <row r="131" ht="46" customHeight="1" spans="1:25" x14ac:dyDescent="0.25">
      <c r="A131" s="20" t="s">
        <v>970</v>
      </c>
      <c r="B131" s="20" t="s">
        <v>779</v>
      </c>
      <c r="C131" s="20" t="s">
        <v>49</v>
      </c>
      <c r="D131" s="20" t="s">
        <v>971</v>
      </c>
      <c r="E131" s="20" t="s">
        <v>972</v>
      </c>
      <c r="F131" s="20" t="s">
        <v>973</v>
      </c>
      <c r="G131" s="20" t="s">
        <v>974</v>
      </c>
      <c r="H131" s="20" t="s">
        <v>975</v>
      </c>
      <c r="I131" s="20" t="s">
        <v>96</v>
      </c>
      <c r="J131" s="20" t="s">
        <v>97</v>
      </c>
      <c r="K131" s="20" t="s">
        <v>296</v>
      </c>
      <c r="L131" s="20" t="s">
        <v>976</v>
      </c>
      <c r="M131" s="20" t="s">
        <v>37</v>
      </c>
      <c r="N131" s="20" t="s">
        <v>100</v>
      </c>
      <c r="O131" s="20" t="s">
        <v>101</v>
      </c>
      <c r="P131" s="20">
        <v>2</v>
      </c>
      <c r="Q131" s="21">
        <v>46392.75</v>
      </c>
      <c r="R131" s="21">
        <v>46395.75</v>
      </c>
      <c r="S131" s="20">
        <f>NETWORKDAYS(Q131,R131)</f>
        <v>4</v>
      </c>
      <c r="T131" s="21" t="s">
        <v>37</v>
      </c>
      <c r="U131" s="21" t="s">
        <v>37</v>
      </c>
      <c r="V131" s="20" t="s">
        <v>102</v>
      </c>
      <c r="W131" s="22">
        <v>0</v>
      </c>
      <c r="X131" s="20" t="str">
        <f>IF(OR(V131="Completada",V131="No aplica"),"VERDE",IF(V131="Bloqueada","ROJO",IF(R131&lt;TODAY(),"ROJO",IF(AND(R131-TODAY()&lt;=7,W131&lt;1),"AMARILLO","GRIS"))))</f>
        <v>GRIS</v>
      </c>
      <c r="Y131" s="20" t="s">
        <v>37</v>
      </c>
    </row>
    <row r="132" ht="46" customHeight="1" spans="1:25" x14ac:dyDescent="0.25">
      <c r="A132" s="17" t="s">
        <v>977</v>
      </c>
      <c r="B132" s="17" t="s">
        <v>779</v>
      </c>
      <c r="C132" s="17" t="s">
        <v>49</v>
      </c>
      <c r="D132" s="17" t="s">
        <v>978</v>
      </c>
      <c r="E132" s="17" t="s">
        <v>979</v>
      </c>
      <c r="F132" s="17" t="s">
        <v>980</v>
      </c>
      <c r="G132" s="17" t="s">
        <v>981</v>
      </c>
      <c r="H132" s="17" t="s">
        <v>982</v>
      </c>
      <c r="I132" s="17" t="s">
        <v>96</v>
      </c>
      <c r="J132" s="17" t="s">
        <v>97</v>
      </c>
      <c r="K132" s="17" t="s">
        <v>296</v>
      </c>
      <c r="L132" s="17" t="s">
        <v>976</v>
      </c>
      <c r="M132" s="17" t="s">
        <v>970</v>
      </c>
      <c r="N132" s="17" t="s">
        <v>983</v>
      </c>
      <c r="O132" s="17" t="s">
        <v>101</v>
      </c>
      <c r="P132" s="17">
        <v>2</v>
      </c>
      <c r="Q132" s="18">
        <v>46398.75</v>
      </c>
      <c r="R132" s="18">
        <v>46400.75</v>
      </c>
      <c r="S132" s="17">
        <f>NETWORKDAYS(Q132,R132)</f>
        <v>3</v>
      </c>
      <c r="T132" s="18" t="s">
        <v>37</v>
      </c>
      <c r="U132" s="18" t="s">
        <v>37</v>
      </c>
      <c r="V132" s="17" t="s">
        <v>102</v>
      </c>
      <c r="W132" s="19">
        <v>0</v>
      </c>
      <c r="X132" s="17" t="str">
        <f>IF(OR(V132="Completada",V132="No aplica"),"VERDE",IF(V132="Bloqueada","ROJO",IF(R132&lt;TODAY(),"ROJO",IF(AND(R132-TODAY()&lt;=7,W132&lt;1),"AMARILLO","GRIS"))))</f>
        <v>GRIS</v>
      </c>
      <c r="Y132" s="17" t="s">
        <v>37</v>
      </c>
    </row>
    <row r="133" ht="46" customHeight="1" spans="1:25" x14ac:dyDescent="0.25">
      <c r="A133" s="20" t="s">
        <v>984</v>
      </c>
      <c r="B133" s="20" t="s">
        <v>779</v>
      </c>
      <c r="C133" s="20" t="s">
        <v>49</v>
      </c>
      <c r="D133" s="20" t="s">
        <v>985</v>
      </c>
      <c r="E133" s="20" t="s">
        <v>986</v>
      </c>
      <c r="F133" s="20" t="s">
        <v>987</v>
      </c>
      <c r="G133" s="20" t="s">
        <v>988</v>
      </c>
      <c r="H133" s="20" t="s">
        <v>989</v>
      </c>
      <c r="I133" s="20" t="s">
        <v>96</v>
      </c>
      <c r="J133" s="20" t="s">
        <v>97</v>
      </c>
      <c r="K133" s="20" t="s">
        <v>296</v>
      </c>
      <c r="L133" s="20" t="s">
        <v>976</v>
      </c>
      <c r="M133" s="20" t="s">
        <v>977</v>
      </c>
      <c r="N133" s="20" t="s">
        <v>990</v>
      </c>
      <c r="O133" s="20" t="s">
        <v>117</v>
      </c>
      <c r="P133" s="20">
        <v>1</v>
      </c>
      <c r="Q133" s="21">
        <v>46401.75</v>
      </c>
      <c r="R133" s="21">
        <v>46405.75</v>
      </c>
      <c r="S133" s="20">
        <f>NETWORKDAYS(Q133,R133)</f>
        <v>3</v>
      </c>
      <c r="T133" s="21" t="s">
        <v>37</v>
      </c>
      <c r="U133" s="21" t="s">
        <v>37</v>
      </c>
      <c r="V133" s="20" t="s">
        <v>102</v>
      </c>
      <c r="W133" s="22">
        <v>0</v>
      </c>
      <c r="X133" s="20" t="str">
        <f>IF(OR(V133="Completada",V133="No aplica"),"VERDE",IF(V133="Bloqueada","ROJO",IF(R133&lt;TODAY(),"ROJO",IF(AND(R133-TODAY()&lt;=7,W133&lt;1),"AMARILLO","GRIS"))))</f>
        <v>GRIS</v>
      </c>
      <c r="Y133" s="20" t="s">
        <v>37</v>
      </c>
    </row>
    <row r="134" ht="46" customHeight="1" spans="1:25" x14ac:dyDescent="0.25">
      <c r="A134" s="17" t="s">
        <v>991</v>
      </c>
      <c r="B134" s="17" t="s">
        <v>779</v>
      </c>
      <c r="C134" s="17" t="s">
        <v>49</v>
      </c>
      <c r="D134" s="17" t="s">
        <v>992</v>
      </c>
      <c r="E134" s="17" t="s">
        <v>993</v>
      </c>
      <c r="F134" s="17" t="s">
        <v>994</v>
      </c>
      <c r="G134" s="17" t="s">
        <v>995</v>
      </c>
      <c r="H134" s="17" t="s">
        <v>996</v>
      </c>
      <c r="I134" s="17" t="s">
        <v>96</v>
      </c>
      <c r="J134" s="17" t="s">
        <v>97</v>
      </c>
      <c r="K134" s="17" t="s">
        <v>296</v>
      </c>
      <c r="L134" s="17" t="s">
        <v>976</v>
      </c>
      <c r="M134" s="17" t="s">
        <v>984</v>
      </c>
      <c r="N134" s="17" t="s">
        <v>997</v>
      </c>
      <c r="O134" s="17" t="s">
        <v>117</v>
      </c>
      <c r="P134" s="17">
        <v>1</v>
      </c>
      <c r="Q134" s="18">
        <v>46406.75</v>
      </c>
      <c r="R134" s="18">
        <v>46409.75</v>
      </c>
      <c r="S134" s="17">
        <f>NETWORKDAYS(Q134,R134)</f>
        <v>4</v>
      </c>
      <c r="T134" s="18" t="s">
        <v>37</v>
      </c>
      <c r="U134" s="18" t="s">
        <v>37</v>
      </c>
      <c r="V134" s="17" t="s">
        <v>102</v>
      </c>
      <c r="W134" s="19">
        <v>0</v>
      </c>
      <c r="X134" s="17" t="str">
        <f>IF(OR(V134="Completada",V134="No aplica"),"VERDE",IF(V134="Bloqueada","ROJO",IF(R134&lt;TODAY(),"ROJO",IF(AND(R134-TODAY()&lt;=7,W134&lt;1),"AMARILLO","GRIS"))))</f>
        <v>GRIS</v>
      </c>
      <c r="Y134" s="17" t="s">
        <v>37</v>
      </c>
    </row>
    <row r="135" ht="46" customHeight="1" spans="1:25" x14ac:dyDescent="0.25">
      <c r="A135" s="20" t="s">
        <v>998</v>
      </c>
      <c r="B135" s="20" t="s">
        <v>779</v>
      </c>
      <c r="C135" s="20" t="s">
        <v>49</v>
      </c>
      <c r="D135" s="20" t="s">
        <v>999</v>
      </c>
      <c r="E135" s="20" t="s">
        <v>1000</v>
      </c>
      <c r="F135" s="20" t="s">
        <v>1001</v>
      </c>
      <c r="G135" s="20" t="s">
        <v>1002</v>
      </c>
      <c r="H135" s="20" t="s">
        <v>1003</v>
      </c>
      <c r="I135" s="20" t="s">
        <v>96</v>
      </c>
      <c r="J135" s="20" t="s">
        <v>97</v>
      </c>
      <c r="K135" s="20" t="s">
        <v>296</v>
      </c>
      <c r="L135" s="20" t="s">
        <v>976</v>
      </c>
      <c r="M135" s="20" t="s">
        <v>991</v>
      </c>
      <c r="N135" s="20" t="s">
        <v>1004</v>
      </c>
      <c r="O135" s="20" t="s">
        <v>117</v>
      </c>
      <c r="P135" s="20">
        <v>1</v>
      </c>
      <c r="Q135" s="21">
        <v>46412.75</v>
      </c>
      <c r="R135" s="21">
        <v>46414.75</v>
      </c>
      <c r="S135" s="20">
        <f>NETWORKDAYS(Q135,R135)</f>
        <v>3</v>
      </c>
      <c r="T135" s="21" t="s">
        <v>37</v>
      </c>
      <c r="U135" s="21" t="s">
        <v>37</v>
      </c>
      <c r="V135" s="20" t="s">
        <v>102</v>
      </c>
      <c r="W135" s="22">
        <v>0</v>
      </c>
      <c r="X135" s="20" t="str">
        <f>IF(OR(V135="Completada",V135="No aplica"),"VERDE",IF(V135="Bloqueada","ROJO",IF(R135&lt;TODAY(),"ROJO",IF(AND(R135-TODAY()&lt;=7,W135&lt;1),"AMARILLO","GRIS"))))</f>
        <v>GRIS</v>
      </c>
      <c r="Y135" s="20" t="s">
        <v>37</v>
      </c>
    </row>
    <row r="136" ht="46" customHeight="1" spans="1:25" x14ac:dyDescent="0.25">
      <c r="A136" s="17" t="s">
        <v>1005</v>
      </c>
      <c r="B136" s="17" t="s">
        <v>779</v>
      </c>
      <c r="C136" s="17" t="s">
        <v>49</v>
      </c>
      <c r="D136" s="17" t="s">
        <v>1006</v>
      </c>
      <c r="E136" s="17" t="s">
        <v>1007</v>
      </c>
      <c r="F136" s="17" t="s">
        <v>1008</v>
      </c>
      <c r="G136" s="17" t="s">
        <v>1009</v>
      </c>
      <c r="H136" s="17" t="s">
        <v>1010</v>
      </c>
      <c r="I136" s="17" t="s">
        <v>96</v>
      </c>
      <c r="J136" s="17" t="s">
        <v>97</v>
      </c>
      <c r="K136" s="17" t="s">
        <v>296</v>
      </c>
      <c r="L136" s="17" t="s">
        <v>976</v>
      </c>
      <c r="M136" s="17" t="s">
        <v>998</v>
      </c>
      <c r="N136" s="17" t="s">
        <v>1011</v>
      </c>
      <c r="O136" s="17" t="s">
        <v>101</v>
      </c>
      <c r="P136" s="17">
        <v>2</v>
      </c>
      <c r="Q136" s="18">
        <v>46415.75</v>
      </c>
      <c r="R136" s="18">
        <v>46419.75</v>
      </c>
      <c r="S136" s="17">
        <f>NETWORKDAYS(Q136,R136)</f>
        <v>3</v>
      </c>
      <c r="T136" s="18" t="s">
        <v>37</v>
      </c>
      <c r="U136" s="18" t="s">
        <v>37</v>
      </c>
      <c r="V136" s="17" t="s">
        <v>102</v>
      </c>
      <c r="W136" s="19">
        <v>0</v>
      </c>
      <c r="X136" s="17" t="str">
        <f>IF(OR(V136="Completada",V136="No aplica"),"VERDE",IF(V136="Bloqueada","ROJO",IF(R136&lt;TODAY(),"ROJO",IF(AND(R136-TODAY()&lt;=7,W136&lt;1),"AMARILLO","GRIS"))))</f>
        <v>GRIS</v>
      </c>
      <c r="Y136" s="17" t="s">
        <v>37</v>
      </c>
    </row>
    <row r="137" ht="46" customHeight="1" spans="1:25" x14ac:dyDescent="0.25">
      <c r="A137" s="20" t="s">
        <v>1012</v>
      </c>
      <c r="B137" s="20" t="s">
        <v>779</v>
      </c>
      <c r="C137" s="20" t="s">
        <v>49</v>
      </c>
      <c r="D137" s="20" t="s">
        <v>1013</v>
      </c>
      <c r="E137" s="20" t="s">
        <v>1014</v>
      </c>
      <c r="F137" s="20" t="s">
        <v>1015</v>
      </c>
      <c r="G137" s="20" t="s">
        <v>1016</v>
      </c>
      <c r="H137" s="20" t="s">
        <v>1017</v>
      </c>
      <c r="I137" s="20" t="s">
        <v>96</v>
      </c>
      <c r="J137" s="20" t="s">
        <v>97</v>
      </c>
      <c r="K137" s="20" t="s">
        <v>296</v>
      </c>
      <c r="L137" s="20" t="s">
        <v>976</v>
      </c>
      <c r="M137" s="20" t="s">
        <v>1005</v>
      </c>
      <c r="N137" s="20" t="s">
        <v>1018</v>
      </c>
      <c r="O137" s="20" t="s">
        <v>117</v>
      </c>
      <c r="P137" s="20">
        <v>1</v>
      </c>
      <c r="Q137" s="21">
        <v>46420.75</v>
      </c>
      <c r="R137" s="21">
        <v>46423.75</v>
      </c>
      <c r="S137" s="20">
        <f>NETWORKDAYS(Q137,R137)</f>
        <v>4</v>
      </c>
      <c r="T137" s="21" t="s">
        <v>37</v>
      </c>
      <c r="U137" s="21" t="s">
        <v>37</v>
      </c>
      <c r="V137" s="20" t="s">
        <v>102</v>
      </c>
      <c r="W137" s="22">
        <v>0</v>
      </c>
      <c r="X137" s="20" t="str">
        <f>IF(OR(V137="Completada",V137="No aplica"),"VERDE",IF(V137="Bloqueada","ROJO",IF(R137&lt;TODAY(),"ROJO",IF(AND(R137-TODAY()&lt;=7,W137&lt;1),"AMARILLO","GRIS"))))</f>
        <v>GRIS</v>
      </c>
      <c r="Y137" s="20" t="s">
        <v>37</v>
      </c>
    </row>
    <row r="138" ht="46" customHeight="1" spans="1:25" x14ac:dyDescent="0.25">
      <c r="A138" s="17" t="s">
        <v>1019</v>
      </c>
      <c r="B138" s="17" t="s">
        <v>779</v>
      </c>
      <c r="C138" s="17" t="s">
        <v>50</v>
      </c>
      <c r="D138" s="17" t="s">
        <v>1020</v>
      </c>
      <c r="E138" s="17" t="s">
        <v>1021</v>
      </c>
      <c r="F138" s="17" t="s">
        <v>1022</v>
      </c>
      <c r="G138" s="17" t="s">
        <v>1023</v>
      </c>
      <c r="H138" s="17" t="s">
        <v>1024</v>
      </c>
      <c r="I138" s="17" t="s">
        <v>96</v>
      </c>
      <c r="J138" s="17" t="s">
        <v>97</v>
      </c>
      <c r="K138" s="17" t="s">
        <v>296</v>
      </c>
      <c r="L138" s="17" t="s">
        <v>1025</v>
      </c>
      <c r="M138" s="17" t="s">
        <v>37</v>
      </c>
      <c r="N138" s="17" t="s">
        <v>100</v>
      </c>
      <c r="O138" s="17" t="s">
        <v>101</v>
      </c>
      <c r="P138" s="17">
        <v>2</v>
      </c>
      <c r="Q138" s="18">
        <v>46393.75</v>
      </c>
      <c r="R138" s="18">
        <v>46398.75</v>
      </c>
      <c r="S138" s="17">
        <f>NETWORKDAYS(Q138,R138)</f>
        <v>4</v>
      </c>
      <c r="T138" s="18" t="s">
        <v>37</v>
      </c>
      <c r="U138" s="18" t="s">
        <v>37</v>
      </c>
      <c r="V138" s="17" t="s">
        <v>102</v>
      </c>
      <c r="W138" s="19">
        <v>0</v>
      </c>
      <c r="X138" s="17" t="str">
        <f>IF(OR(V138="Completada",V138="No aplica"),"VERDE",IF(V138="Bloqueada","ROJO",IF(R138&lt;TODAY(),"ROJO",IF(AND(R138-TODAY()&lt;=7,W138&lt;1),"AMARILLO","GRIS"))))</f>
        <v>GRIS</v>
      </c>
      <c r="Y138" s="17" t="s">
        <v>37</v>
      </c>
    </row>
    <row r="139" ht="46" customHeight="1" spans="1:25" x14ac:dyDescent="0.25">
      <c r="A139" s="20" t="s">
        <v>1026</v>
      </c>
      <c r="B139" s="20" t="s">
        <v>779</v>
      </c>
      <c r="C139" s="20" t="s">
        <v>50</v>
      </c>
      <c r="D139" s="20" t="s">
        <v>1027</v>
      </c>
      <c r="E139" s="20" t="s">
        <v>1028</v>
      </c>
      <c r="F139" s="20" t="s">
        <v>1029</v>
      </c>
      <c r="G139" s="20" t="s">
        <v>1030</v>
      </c>
      <c r="H139" s="20" t="s">
        <v>1031</v>
      </c>
      <c r="I139" s="20" t="s">
        <v>96</v>
      </c>
      <c r="J139" s="20" t="s">
        <v>97</v>
      </c>
      <c r="K139" s="20" t="s">
        <v>296</v>
      </c>
      <c r="L139" s="20" t="s">
        <v>1025</v>
      </c>
      <c r="M139" s="20" t="s">
        <v>1019</v>
      </c>
      <c r="N139" s="20" t="s">
        <v>1032</v>
      </c>
      <c r="O139" s="20" t="s">
        <v>101</v>
      </c>
      <c r="P139" s="20">
        <v>2</v>
      </c>
      <c r="Q139" s="21">
        <v>46399.75</v>
      </c>
      <c r="R139" s="21">
        <v>46401.75</v>
      </c>
      <c r="S139" s="20">
        <f>NETWORKDAYS(Q139,R139)</f>
        <v>3</v>
      </c>
      <c r="T139" s="21" t="s">
        <v>37</v>
      </c>
      <c r="U139" s="21" t="s">
        <v>37</v>
      </c>
      <c r="V139" s="20" t="s">
        <v>102</v>
      </c>
      <c r="W139" s="22">
        <v>0</v>
      </c>
      <c r="X139" s="20" t="str">
        <f>IF(OR(V139="Completada",V139="No aplica"),"VERDE",IF(V139="Bloqueada","ROJO",IF(R139&lt;TODAY(),"ROJO",IF(AND(R139-TODAY()&lt;=7,W139&lt;1),"AMARILLO","GRIS"))))</f>
        <v>GRIS</v>
      </c>
      <c r="Y139" s="20" t="s">
        <v>37</v>
      </c>
    </row>
    <row r="140" ht="46" customHeight="1" spans="1:25" x14ac:dyDescent="0.25">
      <c r="A140" s="17" t="s">
        <v>1033</v>
      </c>
      <c r="B140" s="17" t="s">
        <v>779</v>
      </c>
      <c r="C140" s="17" t="s">
        <v>50</v>
      </c>
      <c r="D140" s="17" t="s">
        <v>1034</v>
      </c>
      <c r="E140" s="17" t="s">
        <v>1035</v>
      </c>
      <c r="F140" s="17" t="s">
        <v>1036</v>
      </c>
      <c r="G140" s="17" t="s">
        <v>1037</v>
      </c>
      <c r="H140" s="17" t="s">
        <v>1038</v>
      </c>
      <c r="I140" s="17" t="s">
        <v>96</v>
      </c>
      <c r="J140" s="17" t="s">
        <v>97</v>
      </c>
      <c r="K140" s="17" t="s">
        <v>296</v>
      </c>
      <c r="L140" s="17" t="s">
        <v>1025</v>
      </c>
      <c r="M140" s="17" t="s">
        <v>1026</v>
      </c>
      <c r="N140" s="17" t="s">
        <v>1039</v>
      </c>
      <c r="O140" s="17" t="s">
        <v>117</v>
      </c>
      <c r="P140" s="17">
        <v>1</v>
      </c>
      <c r="Q140" s="18">
        <v>46402.75</v>
      </c>
      <c r="R140" s="18">
        <v>46406.75</v>
      </c>
      <c r="S140" s="17">
        <f>NETWORKDAYS(Q140,R140)</f>
        <v>3</v>
      </c>
      <c r="T140" s="18" t="s">
        <v>37</v>
      </c>
      <c r="U140" s="18" t="s">
        <v>37</v>
      </c>
      <c r="V140" s="17" t="s">
        <v>102</v>
      </c>
      <c r="W140" s="19">
        <v>0</v>
      </c>
      <c r="X140" s="17" t="str">
        <f>IF(OR(V140="Completada",V140="No aplica"),"VERDE",IF(V140="Bloqueada","ROJO",IF(R140&lt;TODAY(),"ROJO",IF(AND(R140-TODAY()&lt;=7,W140&lt;1),"AMARILLO","GRIS"))))</f>
        <v>GRIS</v>
      </c>
      <c r="Y140" s="17" t="s">
        <v>37</v>
      </c>
    </row>
    <row r="141" ht="46" customHeight="1" spans="1:25" x14ac:dyDescent="0.25">
      <c r="A141" s="20" t="s">
        <v>1040</v>
      </c>
      <c r="B141" s="20" t="s">
        <v>779</v>
      </c>
      <c r="C141" s="20" t="s">
        <v>50</v>
      </c>
      <c r="D141" s="20" t="s">
        <v>1041</v>
      </c>
      <c r="E141" s="20" t="s">
        <v>1042</v>
      </c>
      <c r="F141" s="20" t="s">
        <v>1043</v>
      </c>
      <c r="G141" s="20" t="s">
        <v>1044</v>
      </c>
      <c r="H141" s="20" t="s">
        <v>1045</v>
      </c>
      <c r="I141" s="20" t="s">
        <v>96</v>
      </c>
      <c r="J141" s="20" t="s">
        <v>97</v>
      </c>
      <c r="K141" s="20" t="s">
        <v>296</v>
      </c>
      <c r="L141" s="20" t="s">
        <v>1025</v>
      </c>
      <c r="M141" s="20" t="s">
        <v>1033</v>
      </c>
      <c r="N141" s="20" t="s">
        <v>1046</v>
      </c>
      <c r="O141" s="20" t="s">
        <v>117</v>
      </c>
      <c r="P141" s="20">
        <v>1</v>
      </c>
      <c r="Q141" s="21">
        <v>46407.75</v>
      </c>
      <c r="R141" s="21">
        <v>46412.75</v>
      </c>
      <c r="S141" s="20">
        <f>NETWORKDAYS(Q141,R141)</f>
        <v>4</v>
      </c>
      <c r="T141" s="21" t="s">
        <v>37</v>
      </c>
      <c r="U141" s="21" t="s">
        <v>37</v>
      </c>
      <c r="V141" s="20" t="s">
        <v>102</v>
      </c>
      <c r="W141" s="22">
        <v>0</v>
      </c>
      <c r="X141" s="20" t="str">
        <f>IF(OR(V141="Completada",V141="No aplica"),"VERDE",IF(V141="Bloqueada","ROJO",IF(R141&lt;TODAY(),"ROJO",IF(AND(R141-TODAY()&lt;=7,W141&lt;1),"AMARILLO","GRIS"))))</f>
        <v>GRIS</v>
      </c>
      <c r="Y141" s="20" t="s">
        <v>37</v>
      </c>
    </row>
    <row r="142" ht="46" customHeight="1" spans="1:25" x14ac:dyDescent="0.25">
      <c r="A142" s="17" t="s">
        <v>1047</v>
      </c>
      <c r="B142" s="17" t="s">
        <v>779</v>
      </c>
      <c r="C142" s="17" t="s">
        <v>50</v>
      </c>
      <c r="D142" s="17" t="s">
        <v>1048</v>
      </c>
      <c r="E142" s="17" t="s">
        <v>1049</v>
      </c>
      <c r="F142" s="17" t="s">
        <v>1050</v>
      </c>
      <c r="G142" s="17" t="s">
        <v>1051</v>
      </c>
      <c r="H142" s="17" t="s">
        <v>1052</v>
      </c>
      <c r="I142" s="17" t="s">
        <v>96</v>
      </c>
      <c r="J142" s="17" t="s">
        <v>97</v>
      </c>
      <c r="K142" s="17" t="s">
        <v>296</v>
      </c>
      <c r="L142" s="17" t="s">
        <v>1025</v>
      </c>
      <c r="M142" s="17" t="s">
        <v>1040</v>
      </c>
      <c r="N142" s="17" t="s">
        <v>1053</v>
      </c>
      <c r="O142" s="17" t="s">
        <v>117</v>
      </c>
      <c r="P142" s="17">
        <v>1</v>
      </c>
      <c r="Q142" s="18">
        <v>46413.75</v>
      </c>
      <c r="R142" s="18">
        <v>46415.75</v>
      </c>
      <c r="S142" s="17">
        <f>NETWORKDAYS(Q142,R142)</f>
        <v>3</v>
      </c>
      <c r="T142" s="18" t="s">
        <v>37</v>
      </c>
      <c r="U142" s="18" t="s">
        <v>37</v>
      </c>
      <c r="V142" s="17" t="s">
        <v>102</v>
      </c>
      <c r="W142" s="19">
        <v>0</v>
      </c>
      <c r="X142" s="17" t="str">
        <f>IF(OR(V142="Completada",V142="No aplica"),"VERDE",IF(V142="Bloqueada","ROJO",IF(R142&lt;TODAY(),"ROJO",IF(AND(R142-TODAY()&lt;=7,W142&lt;1),"AMARILLO","GRIS"))))</f>
        <v>GRIS</v>
      </c>
      <c r="Y142" s="17" t="s">
        <v>37</v>
      </c>
    </row>
    <row r="143" ht="46" customHeight="1" spans="1:25" x14ac:dyDescent="0.25">
      <c r="A143" s="20" t="s">
        <v>1054</v>
      </c>
      <c r="B143" s="20" t="s">
        <v>779</v>
      </c>
      <c r="C143" s="20" t="s">
        <v>50</v>
      </c>
      <c r="D143" s="20" t="s">
        <v>1055</v>
      </c>
      <c r="E143" s="20" t="s">
        <v>1056</v>
      </c>
      <c r="F143" s="20" t="s">
        <v>1057</v>
      </c>
      <c r="G143" s="20" t="s">
        <v>1058</v>
      </c>
      <c r="H143" s="20" t="s">
        <v>1059</v>
      </c>
      <c r="I143" s="20" t="s">
        <v>96</v>
      </c>
      <c r="J143" s="20" t="s">
        <v>97</v>
      </c>
      <c r="K143" s="20" t="s">
        <v>296</v>
      </c>
      <c r="L143" s="20" t="s">
        <v>1025</v>
      </c>
      <c r="M143" s="20" t="s">
        <v>1047</v>
      </c>
      <c r="N143" s="20" t="s">
        <v>1060</v>
      </c>
      <c r="O143" s="20" t="s">
        <v>117</v>
      </c>
      <c r="P143" s="20">
        <v>1</v>
      </c>
      <c r="Q143" s="21">
        <v>46416.75</v>
      </c>
      <c r="R143" s="21">
        <v>46420.75</v>
      </c>
      <c r="S143" s="20">
        <f>NETWORKDAYS(Q143,R143)</f>
        <v>3</v>
      </c>
      <c r="T143" s="21" t="s">
        <v>37</v>
      </c>
      <c r="U143" s="21" t="s">
        <v>37</v>
      </c>
      <c r="V143" s="20" t="s">
        <v>102</v>
      </c>
      <c r="W143" s="22">
        <v>0</v>
      </c>
      <c r="X143" s="20" t="str">
        <f>IF(OR(V143="Completada",V143="No aplica"),"VERDE",IF(V143="Bloqueada","ROJO",IF(R143&lt;TODAY(),"ROJO",IF(AND(R143-TODAY()&lt;=7,W143&lt;1),"AMARILLO","GRIS"))))</f>
        <v>GRIS</v>
      </c>
      <c r="Y143" s="20" t="s">
        <v>37</v>
      </c>
    </row>
    <row r="144" ht="46" customHeight="1" spans="1:25" x14ac:dyDescent="0.25">
      <c r="A144" s="17" t="s">
        <v>1061</v>
      </c>
      <c r="B144" s="17" t="s">
        <v>779</v>
      </c>
      <c r="C144" s="17" t="s">
        <v>50</v>
      </c>
      <c r="D144" s="17" t="s">
        <v>1062</v>
      </c>
      <c r="E144" s="17" t="s">
        <v>1063</v>
      </c>
      <c r="F144" s="17" t="s">
        <v>1064</v>
      </c>
      <c r="G144" s="17" t="s">
        <v>1065</v>
      </c>
      <c r="H144" s="17" t="s">
        <v>1066</v>
      </c>
      <c r="I144" s="17" t="s">
        <v>96</v>
      </c>
      <c r="J144" s="17" t="s">
        <v>97</v>
      </c>
      <c r="K144" s="17" t="s">
        <v>296</v>
      </c>
      <c r="L144" s="17" t="s">
        <v>1025</v>
      </c>
      <c r="M144" s="17" t="s">
        <v>1054</v>
      </c>
      <c r="N144" s="17" t="s">
        <v>1067</v>
      </c>
      <c r="O144" s="17" t="s">
        <v>117</v>
      </c>
      <c r="P144" s="17">
        <v>1</v>
      </c>
      <c r="Q144" s="18">
        <v>46421.75</v>
      </c>
      <c r="R144" s="18">
        <v>46426.75</v>
      </c>
      <c r="S144" s="17">
        <f>NETWORKDAYS(Q144,R144)</f>
        <v>4</v>
      </c>
      <c r="T144" s="18" t="s">
        <v>37</v>
      </c>
      <c r="U144" s="18" t="s">
        <v>37</v>
      </c>
      <c r="V144" s="17" t="s">
        <v>102</v>
      </c>
      <c r="W144" s="19">
        <v>0</v>
      </c>
      <c r="X144" s="17" t="str">
        <f>IF(OR(V144="Completada",V144="No aplica"),"VERDE",IF(V144="Bloqueada","ROJO",IF(R144&lt;TODAY(),"ROJO",IF(AND(R144-TODAY()&lt;=7,W144&lt;1),"AMARILLO","GRIS"))))</f>
        <v>GRIS</v>
      </c>
      <c r="Y144" s="17" t="s">
        <v>37</v>
      </c>
    </row>
    <row r="145" ht="46" customHeight="1" spans="1:25" x14ac:dyDescent="0.25">
      <c r="A145" s="20" t="s">
        <v>1068</v>
      </c>
      <c r="B145" s="20" t="s">
        <v>779</v>
      </c>
      <c r="C145" s="20" t="s">
        <v>50</v>
      </c>
      <c r="D145" s="20" t="s">
        <v>1069</v>
      </c>
      <c r="E145" s="20" t="s">
        <v>1070</v>
      </c>
      <c r="F145" s="20" t="s">
        <v>1071</v>
      </c>
      <c r="G145" s="20" t="s">
        <v>1072</v>
      </c>
      <c r="H145" s="20" t="s">
        <v>1073</v>
      </c>
      <c r="I145" s="20" t="s">
        <v>96</v>
      </c>
      <c r="J145" s="20" t="s">
        <v>97</v>
      </c>
      <c r="K145" s="20" t="s">
        <v>296</v>
      </c>
      <c r="L145" s="20" t="s">
        <v>1025</v>
      </c>
      <c r="M145" s="20" t="s">
        <v>1061</v>
      </c>
      <c r="N145" s="20" t="s">
        <v>1074</v>
      </c>
      <c r="O145" s="20" t="s">
        <v>117</v>
      </c>
      <c r="P145" s="20">
        <v>1</v>
      </c>
      <c r="Q145" s="21">
        <v>46427.75</v>
      </c>
      <c r="R145" s="21">
        <v>46429.75</v>
      </c>
      <c r="S145" s="20">
        <f>NETWORKDAYS(Q145,R145)</f>
        <v>3</v>
      </c>
      <c r="T145" s="21" t="s">
        <v>37</v>
      </c>
      <c r="U145" s="21" t="s">
        <v>37</v>
      </c>
      <c r="V145" s="20" t="s">
        <v>102</v>
      </c>
      <c r="W145" s="22">
        <v>0</v>
      </c>
      <c r="X145" s="20" t="str">
        <f>IF(OR(V145="Completada",V145="No aplica"),"VERDE",IF(V145="Bloqueada","ROJO",IF(R145&lt;TODAY(),"ROJO",IF(AND(R145-TODAY()&lt;=7,W145&lt;1),"AMARILLO","GRIS"))))</f>
        <v>GRIS</v>
      </c>
      <c r="Y145" s="20" t="s">
        <v>37</v>
      </c>
    </row>
    <row r="146" ht="46" customHeight="1" spans="1:25" x14ac:dyDescent="0.25">
      <c r="A146" s="17" t="s">
        <v>1075</v>
      </c>
      <c r="B146" s="17" t="s">
        <v>779</v>
      </c>
      <c r="C146" s="17" t="s">
        <v>50</v>
      </c>
      <c r="D146" s="17" t="s">
        <v>1076</v>
      </c>
      <c r="E146" s="17" t="s">
        <v>1077</v>
      </c>
      <c r="F146" s="17" t="s">
        <v>1078</v>
      </c>
      <c r="G146" s="17" t="s">
        <v>1079</v>
      </c>
      <c r="H146" s="17" t="s">
        <v>1080</v>
      </c>
      <c r="I146" s="17" t="s">
        <v>96</v>
      </c>
      <c r="J146" s="17" t="s">
        <v>97</v>
      </c>
      <c r="K146" s="17" t="s">
        <v>296</v>
      </c>
      <c r="L146" s="17" t="s">
        <v>1025</v>
      </c>
      <c r="M146" s="17" t="s">
        <v>1068</v>
      </c>
      <c r="N146" s="17" t="s">
        <v>1081</v>
      </c>
      <c r="O146" s="17" t="s">
        <v>117</v>
      </c>
      <c r="P146" s="17">
        <v>1</v>
      </c>
      <c r="Q146" s="18">
        <v>46430.75</v>
      </c>
      <c r="R146" s="18">
        <v>46434.75</v>
      </c>
      <c r="S146" s="17">
        <f>NETWORKDAYS(Q146,R146)</f>
        <v>3</v>
      </c>
      <c r="T146" s="18" t="s">
        <v>37</v>
      </c>
      <c r="U146" s="18" t="s">
        <v>37</v>
      </c>
      <c r="V146" s="17" t="s">
        <v>102</v>
      </c>
      <c r="W146" s="19">
        <v>0</v>
      </c>
      <c r="X146" s="17" t="str">
        <f>IF(OR(V146="Completada",V146="No aplica"),"VERDE",IF(V146="Bloqueada","ROJO",IF(R146&lt;TODAY(),"ROJO",IF(AND(R146-TODAY()&lt;=7,W146&lt;1),"AMARILLO","GRIS"))))</f>
        <v>GRIS</v>
      </c>
      <c r="Y146" s="17" t="s">
        <v>37</v>
      </c>
    </row>
    <row r="147" ht="46" customHeight="1" spans="1:25" x14ac:dyDescent="0.25">
      <c r="A147" s="20" t="s">
        <v>1082</v>
      </c>
      <c r="B147" s="20" t="s">
        <v>779</v>
      </c>
      <c r="C147" s="20" t="s">
        <v>50</v>
      </c>
      <c r="D147" s="20" t="s">
        <v>1083</v>
      </c>
      <c r="E147" s="20" t="s">
        <v>1084</v>
      </c>
      <c r="F147" s="20" t="s">
        <v>1085</v>
      </c>
      <c r="G147" s="20" t="s">
        <v>1086</v>
      </c>
      <c r="H147" s="20" t="s">
        <v>1087</v>
      </c>
      <c r="I147" s="20" t="s">
        <v>96</v>
      </c>
      <c r="J147" s="20" t="s">
        <v>97</v>
      </c>
      <c r="K147" s="20" t="s">
        <v>296</v>
      </c>
      <c r="L147" s="20" t="s">
        <v>1025</v>
      </c>
      <c r="M147" s="20" t="s">
        <v>1075</v>
      </c>
      <c r="N147" s="20" t="s">
        <v>1088</v>
      </c>
      <c r="O147" s="20" t="s">
        <v>117</v>
      </c>
      <c r="P147" s="20">
        <v>1</v>
      </c>
      <c r="Q147" s="21">
        <v>46435.75</v>
      </c>
      <c r="R147" s="21">
        <v>46440.75</v>
      </c>
      <c r="S147" s="20">
        <f>NETWORKDAYS(Q147,R147)</f>
        <v>4</v>
      </c>
      <c r="T147" s="21" t="s">
        <v>37</v>
      </c>
      <c r="U147" s="21" t="s">
        <v>37</v>
      </c>
      <c r="V147" s="20" t="s">
        <v>102</v>
      </c>
      <c r="W147" s="22">
        <v>0</v>
      </c>
      <c r="X147" s="20" t="str">
        <f>IF(OR(V147="Completada",V147="No aplica"),"VERDE",IF(V147="Bloqueada","ROJO",IF(R147&lt;TODAY(),"ROJO",IF(AND(R147-TODAY()&lt;=7,W147&lt;1),"AMARILLO","GRIS"))))</f>
        <v>GRIS</v>
      </c>
      <c r="Y147" s="20" t="s">
        <v>37</v>
      </c>
    </row>
    <row r="148" ht="46" customHeight="1" spans="1:25" x14ac:dyDescent="0.25">
      <c r="A148" s="17" t="s">
        <v>1089</v>
      </c>
      <c r="B148" s="17" t="s">
        <v>779</v>
      </c>
      <c r="C148" s="17" t="s">
        <v>50</v>
      </c>
      <c r="D148" s="17" t="s">
        <v>1090</v>
      </c>
      <c r="E148" s="17" t="s">
        <v>1091</v>
      </c>
      <c r="F148" s="17" t="s">
        <v>1092</v>
      </c>
      <c r="G148" s="17" t="s">
        <v>1093</v>
      </c>
      <c r="H148" s="17" t="s">
        <v>1094</v>
      </c>
      <c r="I148" s="17" t="s">
        <v>96</v>
      </c>
      <c r="J148" s="17" t="s">
        <v>97</v>
      </c>
      <c r="K148" s="17" t="s">
        <v>296</v>
      </c>
      <c r="L148" s="17" t="s">
        <v>1025</v>
      </c>
      <c r="M148" s="17" t="s">
        <v>1082</v>
      </c>
      <c r="N148" s="17" t="s">
        <v>1095</v>
      </c>
      <c r="O148" s="17" t="s">
        <v>117</v>
      </c>
      <c r="P148" s="17">
        <v>1</v>
      </c>
      <c r="Q148" s="18">
        <v>46441.75</v>
      </c>
      <c r="R148" s="18">
        <v>46443.75</v>
      </c>
      <c r="S148" s="17">
        <f>NETWORKDAYS(Q148,R148)</f>
        <v>3</v>
      </c>
      <c r="T148" s="18" t="s">
        <v>37</v>
      </c>
      <c r="U148" s="18" t="s">
        <v>37</v>
      </c>
      <c r="V148" s="17" t="s">
        <v>102</v>
      </c>
      <c r="W148" s="19">
        <v>0</v>
      </c>
      <c r="X148" s="17" t="str">
        <f>IF(OR(V148="Completada",V148="No aplica"),"VERDE",IF(V148="Bloqueada","ROJO",IF(R148&lt;TODAY(),"ROJO",IF(AND(R148-TODAY()&lt;=7,W148&lt;1),"AMARILLO","GRIS"))))</f>
        <v>GRIS</v>
      </c>
      <c r="Y148" s="17" t="s">
        <v>37</v>
      </c>
    </row>
    <row r="149" ht="46" customHeight="1" spans="1:25" x14ac:dyDescent="0.25">
      <c r="A149" s="20" t="s">
        <v>1096</v>
      </c>
      <c r="B149" s="20" t="s">
        <v>779</v>
      </c>
      <c r="C149" s="20" t="s">
        <v>50</v>
      </c>
      <c r="D149" s="20" t="s">
        <v>1097</v>
      </c>
      <c r="E149" s="20" t="s">
        <v>1098</v>
      </c>
      <c r="F149" s="20" t="s">
        <v>1099</v>
      </c>
      <c r="G149" s="20" t="s">
        <v>1100</v>
      </c>
      <c r="H149" s="20" t="s">
        <v>1101</v>
      </c>
      <c r="I149" s="20" t="s">
        <v>96</v>
      </c>
      <c r="J149" s="20" t="s">
        <v>97</v>
      </c>
      <c r="K149" s="20" t="s">
        <v>296</v>
      </c>
      <c r="L149" s="20" t="s">
        <v>1025</v>
      </c>
      <c r="M149" s="20" t="s">
        <v>1089</v>
      </c>
      <c r="N149" s="20" t="s">
        <v>1102</v>
      </c>
      <c r="O149" s="20" t="s">
        <v>117</v>
      </c>
      <c r="P149" s="20">
        <v>1</v>
      </c>
      <c r="Q149" s="21">
        <v>46444.75</v>
      </c>
      <c r="R149" s="21">
        <v>46448.75</v>
      </c>
      <c r="S149" s="20">
        <f>NETWORKDAYS(Q149,R149)</f>
        <v>3</v>
      </c>
      <c r="T149" s="21" t="s">
        <v>37</v>
      </c>
      <c r="U149" s="21" t="s">
        <v>37</v>
      </c>
      <c r="V149" s="20" t="s">
        <v>102</v>
      </c>
      <c r="W149" s="22">
        <v>0</v>
      </c>
      <c r="X149" s="20" t="str">
        <f>IF(OR(V149="Completada",V149="No aplica"),"VERDE",IF(V149="Bloqueada","ROJO",IF(R149&lt;TODAY(),"ROJO",IF(AND(R149-TODAY()&lt;=7,W149&lt;1),"AMARILLO","GRIS"))))</f>
        <v>GRIS</v>
      </c>
      <c r="Y149" s="20" t="s">
        <v>37</v>
      </c>
    </row>
    <row r="150" ht="46" customHeight="1" spans="1:25" x14ac:dyDescent="0.25">
      <c r="A150" s="17" t="s">
        <v>1103</v>
      </c>
      <c r="B150" s="17" t="s">
        <v>779</v>
      </c>
      <c r="C150" s="17" t="s">
        <v>51</v>
      </c>
      <c r="D150" s="17" t="s">
        <v>1104</v>
      </c>
      <c r="E150" s="17" t="s">
        <v>1105</v>
      </c>
      <c r="F150" s="17" t="s">
        <v>1106</v>
      </c>
      <c r="G150" s="17" t="s">
        <v>1107</v>
      </c>
      <c r="H150" s="17" t="s">
        <v>1108</v>
      </c>
      <c r="I150" s="17" t="s">
        <v>96</v>
      </c>
      <c r="J150" s="17" t="s">
        <v>97</v>
      </c>
      <c r="K150" s="17" t="s">
        <v>296</v>
      </c>
      <c r="L150" s="17" t="s">
        <v>52</v>
      </c>
      <c r="M150" s="17" t="s">
        <v>37</v>
      </c>
      <c r="N150" s="17" t="s">
        <v>100</v>
      </c>
      <c r="O150" s="17" t="s">
        <v>101</v>
      </c>
      <c r="P150" s="17">
        <v>2</v>
      </c>
      <c r="Q150" s="18">
        <v>46394.75</v>
      </c>
      <c r="R150" s="18">
        <v>46399.75</v>
      </c>
      <c r="S150" s="17">
        <f>NETWORKDAYS(Q150,R150)</f>
        <v>4</v>
      </c>
      <c r="T150" s="18" t="s">
        <v>37</v>
      </c>
      <c r="U150" s="18" t="s">
        <v>37</v>
      </c>
      <c r="V150" s="17" t="s">
        <v>102</v>
      </c>
      <c r="W150" s="19">
        <v>0</v>
      </c>
      <c r="X150" s="17" t="str">
        <f>IF(OR(V150="Completada",V150="No aplica"),"VERDE",IF(V150="Bloqueada","ROJO",IF(R150&lt;TODAY(),"ROJO",IF(AND(R150-TODAY()&lt;=7,W150&lt;1),"AMARILLO","GRIS"))))</f>
        <v>GRIS</v>
      </c>
      <c r="Y150" s="17" t="s">
        <v>37</v>
      </c>
    </row>
    <row r="151" ht="46" customHeight="1" spans="1:25" x14ac:dyDescent="0.25">
      <c r="A151" s="20" t="s">
        <v>1109</v>
      </c>
      <c r="B151" s="20" t="s">
        <v>779</v>
      </c>
      <c r="C151" s="20" t="s">
        <v>51</v>
      </c>
      <c r="D151" s="20" t="s">
        <v>1110</v>
      </c>
      <c r="E151" s="20" t="s">
        <v>1111</v>
      </c>
      <c r="F151" s="20" t="s">
        <v>1112</v>
      </c>
      <c r="G151" s="20" t="s">
        <v>1113</v>
      </c>
      <c r="H151" s="20" t="s">
        <v>1114</v>
      </c>
      <c r="I151" s="20" t="s">
        <v>96</v>
      </c>
      <c r="J151" s="20" t="s">
        <v>97</v>
      </c>
      <c r="K151" s="20" t="s">
        <v>296</v>
      </c>
      <c r="L151" s="20" t="s">
        <v>52</v>
      </c>
      <c r="M151" s="20" t="s">
        <v>1103</v>
      </c>
      <c r="N151" s="20" t="s">
        <v>1115</v>
      </c>
      <c r="O151" s="20" t="s">
        <v>101</v>
      </c>
      <c r="P151" s="20">
        <v>2</v>
      </c>
      <c r="Q151" s="21">
        <v>46400.75</v>
      </c>
      <c r="R151" s="21">
        <v>46402.75</v>
      </c>
      <c r="S151" s="20">
        <f>NETWORKDAYS(Q151,R151)</f>
        <v>3</v>
      </c>
      <c r="T151" s="21" t="s">
        <v>37</v>
      </c>
      <c r="U151" s="21" t="s">
        <v>37</v>
      </c>
      <c r="V151" s="20" t="s">
        <v>102</v>
      </c>
      <c r="W151" s="22">
        <v>0</v>
      </c>
      <c r="X151" s="20" t="str">
        <f>IF(OR(V151="Completada",V151="No aplica"),"VERDE",IF(V151="Bloqueada","ROJO",IF(R151&lt;TODAY(),"ROJO",IF(AND(R151-TODAY()&lt;=7,W151&lt;1),"AMARILLO","GRIS"))))</f>
        <v>GRIS</v>
      </c>
      <c r="Y151" s="20" t="s">
        <v>37</v>
      </c>
    </row>
    <row r="152" ht="46" customHeight="1" spans="1:25" x14ac:dyDescent="0.25">
      <c r="A152" s="17" t="s">
        <v>1116</v>
      </c>
      <c r="B152" s="17" t="s">
        <v>779</v>
      </c>
      <c r="C152" s="17" t="s">
        <v>51</v>
      </c>
      <c r="D152" s="17" t="s">
        <v>1117</v>
      </c>
      <c r="E152" s="17" t="s">
        <v>1118</v>
      </c>
      <c r="F152" s="17" t="s">
        <v>1119</v>
      </c>
      <c r="G152" s="17" t="s">
        <v>1120</v>
      </c>
      <c r="H152" s="17" t="s">
        <v>1121</v>
      </c>
      <c r="I152" s="17" t="s">
        <v>96</v>
      </c>
      <c r="J152" s="17" t="s">
        <v>97</v>
      </c>
      <c r="K152" s="17" t="s">
        <v>296</v>
      </c>
      <c r="L152" s="17" t="s">
        <v>52</v>
      </c>
      <c r="M152" s="17" t="s">
        <v>1109</v>
      </c>
      <c r="N152" s="17" t="s">
        <v>1122</v>
      </c>
      <c r="O152" s="17" t="s">
        <v>117</v>
      </c>
      <c r="P152" s="17">
        <v>1</v>
      </c>
      <c r="Q152" s="18">
        <v>46405.75</v>
      </c>
      <c r="R152" s="18">
        <v>46407.75</v>
      </c>
      <c r="S152" s="17">
        <f>NETWORKDAYS(Q152,R152)</f>
        <v>3</v>
      </c>
      <c r="T152" s="18" t="s">
        <v>37</v>
      </c>
      <c r="U152" s="18" t="s">
        <v>37</v>
      </c>
      <c r="V152" s="17" t="s">
        <v>102</v>
      </c>
      <c r="W152" s="19">
        <v>0</v>
      </c>
      <c r="X152" s="17" t="str">
        <f>IF(OR(V152="Completada",V152="No aplica"),"VERDE",IF(V152="Bloqueada","ROJO",IF(R152&lt;TODAY(),"ROJO",IF(AND(R152-TODAY()&lt;=7,W152&lt;1),"AMARILLO","GRIS"))))</f>
        <v>GRIS</v>
      </c>
      <c r="Y152" s="17" t="s">
        <v>37</v>
      </c>
    </row>
    <row r="153" ht="46" customHeight="1" spans="1:25" x14ac:dyDescent="0.25">
      <c r="A153" s="20" t="s">
        <v>1123</v>
      </c>
      <c r="B153" s="20" t="s">
        <v>779</v>
      </c>
      <c r="C153" s="20" t="s">
        <v>51</v>
      </c>
      <c r="D153" s="20" t="s">
        <v>1124</v>
      </c>
      <c r="E153" s="20" t="s">
        <v>1125</v>
      </c>
      <c r="F153" s="20" t="s">
        <v>1126</v>
      </c>
      <c r="G153" s="20" t="s">
        <v>1127</v>
      </c>
      <c r="H153" s="20" t="s">
        <v>1128</v>
      </c>
      <c r="I153" s="20" t="s">
        <v>96</v>
      </c>
      <c r="J153" s="20" t="s">
        <v>97</v>
      </c>
      <c r="K153" s="20" t="s">
        <v>296</v>
      </c>
      <c r="L153" s="20" t="s">
        <v>52</v>
      </c>
      <c r="M153" s="20" t="s">
        <v>1116</v>
      </c>
      <c r="N153" s="20" t="s">
        <v>1129</v>
      </c>
      <c r="O153" s="20" t="s">
        <v>117</v>
      </c>
      <c r="P153" s="20">
        <v>1</v>
      </c>
      <c r="Q153" s="21">
        <v>46408.75</v>
      </c>
      <c r="R153" s="21">
        <v>46413.75</v>
      </c>
      <c r="S153" s="20">
        <f>NETWORKDAYS(Q153,R153)</f>
        <v>4</v>
      </c>
      <c r="T153" s="21" t="s">
        <v>37</v>
      </c>
      <c r="U153" s="21" t="s">
        <v>37</v>
      </c>
      <c r="V153" s="20" t="s">
        <v>102</v>
      </c>
      <c r="W153" s="22">
        <v>0</v>
      </c>
      <c r="X153" s="20" t="str">
        <f>IF(OR(V153="Completada",V153="No aplica"),"VERDE",IF(V153="Bloqueada","ROJO",IF(R153&lt;TODAY(),"ROJO",IF(AND(R153-TODAY()&lt;=7,W153&lt;1),"AMARILLO","GRIS"))))</f>
        <v>GRIS</v>
      </c>
      <c r="Y153" s="20" t="s">
        <v>37</v>
      </c>
    </row>
    <row r="154" ht="46" customHeight="1" spans="1:25" x14ac:dyDescent="0.25">
      <c r="A154" s="17" t="s">
        <v>1130</v>
      </c>
      <c r="B154" s="17" t="s">
        <v>779</v>
      </c>
      <c r="C154" s="17" t="s">
        <v>51</v>
      </c>
      <c r="D154" s="17" t="s">
        <v>1131</v>
      </c>
      <c r="E154" s="17" t="s">
        <v>1132</v>
      </c>
      <c r="F154" s="17" t="s">
        <v>1133</v>
      </c>
      <c r="G154" s="17" t="s">
        <v>1134</v>
      </c>
      <c r="H154" s="17" t="s">
        <v>1135</v>
      </c>
      <c r="I154" s="17" t="s">
        <v>96</v>
      </c>
      <c r="J154" s="17" t="s">
        <v>97</v>
      </c>
      <c r="K154" s="17" t="s">
        <v>296</v>
      </c>
      <c r="L154" s="17" t="s">
        <v>52</v>
      </c>
      <c r="M154" s="17" t="s">
        <v>1123</v>
      </c>
      <c r="N154" s="17" t="s">
        <v>1136</v>
      </c>
      <c r="O154" s="17" t="s">
        <v>117</v>
      </c>
      <c r="P154" s="17">
        <v>1</v>
      </c>
      <c r="Q154" s="18">
        <v>46414.75</v>
      </c>
      <c r="R154" s="18">
        <v>46416.75</v>
      </c>
      <c r="S154" s="17">
        <f>NETWORKDAYS(Q154,R154)</f>
        <v>3</v>
      </c>
      <c r="T154" s="18" t="s">
        <v>37</v>
      </c>
      <c r="U154" s="18" t="s">
        <v>37</v>
      </c>
      <c r="V154" s="17" t="s">
        <v>102</v>
      </c>
      <c r="W154" s="19">
        <v>0</v>
      </c>
      <c r="X154" s="17" t="str">
        <f>IF(OR(V154="Completada",V154="No aplica"),"VERDE",IF(V154="Bloqueada","ROJO",IF(R154&lt;TODAY(),"ROJO",IF(AND(R154-TODAY()&lt;=7,W154&lt;1),"AMARILLO","GRIS"))))</f>
        <v>GRIS</v>
      </c>
      <c r="Y154" s="17" t="s">
        <v>37</v>
      </c>
    </row>
    <row r="155" ht="46" customHeight="1" spans="1:25" x14ac:dyDescent="0.25">
      <c r="A155" s="20" t="s">
        <v>1137</v>
      </c>
      <c r="B155" s="20" t="s">
        <v>779</v>
      </c>
      <c r="C155" s="20" t="s">
        <v>51</v>
      </c>
      <c r="D155" s="20" t="s">
        <v>1138</v>
      </c>
      <c r="E155" s="20" t="s">
        <v>1139</v>
      </c>
      <c r="F155" s="20" t="s">
        <v>1140</v>
      </c>
      <c r="G155" s="20" t="s">
        <v>1141</v>
      </c>
      <c r="H155" s="20" t="s">
        <v>1142</v>
      </c>
      <c r="I155" s="20" t="s">
        <v>96</v>
      </c>
      <c r="J155" s="20" t="s">
        <v>97</v>
      </c>
      <c r="K155" s="20" t="s">
        <v>296</v>
      </c>
      <c r="L155" s="20" t="s">
        <v>52</v>
      </c>
      <c r="M155" s="20" t="s">
        <v>1130</v>
      </c>
      <c r="N155" s="20" t="s">
        <v>1143</v>
      </c>
      <c r="O155" s="20" t="s">
        <v>168</v>
      </c>
      <c r="P155" s="20">
        <v>3</v>
      </c>
      <c r="Q155" s="21">
        <v>46419.75</v>
      </c>
      <c r="R155" s="21">
        <v>46423.75</v>
      </c>
      <c r="S155" s="20">
        <f>NETWORKDAYS(Q155,R155)</f>
        <v>5</v>
      </c>
      <c r="T155" s="21" t="s">
        <v>37</v>
      </c>
      <c r="U155" s="21" t="s">
        <v>37</v>
      </c>
      <c r="V155" s="20" t="s">
        <v>102</v>
      </c>
      <c r="W155" s="22">
        <v>0</v>
      </c>
      <c r="X155" s="20" t="str">
        <f>IF(OR(V155="Completada",V155="No aplica"),"VERDE",IF(V155="Bloqueada","ROJO",IF(R155&lt;TODAY(),"ROJO",IF(AND(R155-TODAY()&lt;=7,W155&lt;1),"AMARILLO","GRIS"))))</f>
        <v>GRIS</v>
      </c>
      <c r="Y155" s="20" t="s">
        <v>37</v>
      </c>
    </row>
    <row r="156" ht="46" customHeight="1" spans="1:25" x14ac:dyDescent="0.25">
      <c r="A156" s="17" t="s">
        <v>1144</v>
      </c>
      <c r="B156" s="17" t="s">
        <v>779</v>
      </c>
      <c r="C156" s="17" t="s">
        <v>51</v>
      </c>
      <c r="D156" s="17" t="s">
        <v>1145</v>
      </c>
      <c r="E156" s="17" t="s">
        <v>1146</v>
      </c>
      <c r="F156" s="17" t="s">
        <v>1147</v>
      </c>
      <c r="G156" s="17" t="s">
        <v>1148</v>
      </c>
      <c r="H156" s="17" t="s">
        <v>1149</v>
      </c>
      <c r="I156" s="17" t="s">
        <v>96</v>
      </c>
      <c r="J156" s="17" t="s">
        <v>97</v>
      </c>
      <c r="K156" s="17" t="s">
        <v>296</v>
      </c>
      <c r="L156" s="17" t="s">
        <v>52</v>
      </c>
      <c r="M156" s="17" t="s">
        <v>1137</v>
      </c>
      <c r="N156" s="17" t="s">
        <v>1150</v>
      </c>
      <c r="O156" s="17" t="s">
        <v>168</v>
      </c>
      <c r="P156" s="17">
        <v>3</v>
      </c>
      <c r="Q156" s="18">
        <v>46426.75</v>
      </c>
      <c r="R156" s="18">
        <v>46430.75</v>
      </c>
      <c r="S156" s="17">
        <f>NETWORKDAYS(Q156,R156)</f>
        <v>5</v>
      </c>
      <c r="T156" s="18" t="s">
        <v>37</v>
      </c>
      <c r="U156" s="18" t="s">
        <v>37</v>
      </c>
      <c r="V156" s="17" t="s">
        <v>102</v>
      </c>
      <c r="W156" s="19">
        <v>0</v>
      </c>
      <c r="X156" s="17" t="str">
        <f>IF(OR(V156="Completada",V156="No aplica"),"VERDE",IF(V156="Bloqueada","ROJO",IF(R156&lt;TODAY(),"ROJO",IF(AND(R156-TODAY()&lt;=7,W156&lt;1),"AMARILLO","GRIS"))))</f>
        <v>GRIS</v>
      </c>
      <c r="Y156" s="17" t="s">
        <v>37</v>
      </c>
    </row>
    <row r="157" ht="46" customHeight="1" spans="1:25" x14ac:dyDescent="0.25">
      <c r="A157" s="20" t="s">
        <v>1151</v>
      </c>
      <c r="B157" s="20" t="s">
        <v>779</v>
      </c>
      <c r="C157" s="20" t="s">
        <v>51</v>
      </c>
      <c r="D157" s="20" t="s">
        <v>1152</v>
      </c>
      <c r="E157" s="20" t="s">
        <v>1153</v>
      </c>
      <c r="F157" s="20" t="s">
        <v>1154</v>
      </c>
      <c r="G157" s="20" t="s">
        <v>1155</v>
      </c>
      <c r="H157" s="20" t="s">
        <v>1156</v>
      </c>
      <c r="I157" s="20" t="s">
        <v>96</v>
      </c>
      <c r="J157" s="20" t="s">
        <v>97</v>
      </c>
      <c r="K157" s="20" t="s">
        <v>296</v>
      </c>
      <c r="L157" s="20" t="s">
        <v>52</v>
      </c>
      <c r="M157" s="20" t="s">
        <v>1144</v>
      </c>
      <c r="N157" s="20" t="s">
        <v>1157</v>
      </c>
      <c r="O157" s="20" t="s">
        <v>117</v>
      </c>
      <c r="P157" s="20">
        <v>1</v>
      </c>
      <c r="Q157" s="21">
        <v>46433.75</v>
      </c>
      <c r="R157" s="21">
        <v>46435.75</v>
      </c>
      <c r="S157" s="20">
        <f>NETWORKDAYS(Q157,R157)</f>
        <v>3</v>
      </c>
      <c r="T157" s="21" t="s">
        <v>37</v>
      </c>
      <c r="U157" s="21" t="s">
        <v>37</v>
      </c>
      <c r="V157" s="20" t="s">
        <v>102</v>
      </c>
      <c r="W157" s="22">
        <v>0</v>
      </c>
      <c r="X157" s="20" t="str">
        <f>IF(OR(V157="Completada",V157="No aplica"),"VERDE",IF(V157="Bloqueada","ROJO",IF(R157&lt;TODAY(),"ROJO",IF(AND(R157-TODAY()&lt;=7,W157&lt;1),"AMARILLO","GRIS"))))</f>
        <v>GRIS</v>
      </c>
      <c r="Y157" s="20" t="s">
        <v>37</v>
      </c>
    </row>
    <row r="158" ht="46" customHeight="1" spans="1:25" x14ac:dyDescent="0.25">
      <c r="A158" s="17" t="s">
        <v>1158</v>
      </c>
      <c r="B158" s="17" t="s">
        <v>779</v>
      </c>
      <c r="C158" s="17" t="s">
        <v>51</v>
      </c>
      <c r="D158" s="17" t="s">
        <v>1159</v>
      </c>
      <c r="E158" s="17" t="s">
        <v>1160</v>
      </c>
      <c r="F158" s="17" t="s">
        <v>1161</v>
      </c>
      <c r="G158" s="17" t="s">
        <v>1162</v>
      </c>
      <c r="H158" s="17" t="s">
        <v>1163</v>
      </c>
      <c r="I158" s="17" t="s">
        <v>96</v>
      </c>
      <c r="J158" s="17" t="s">
        <v>97</v>
      </c>
      <c r="K158" s="17" t="s">
        <v>296</v>
      </c>
      <c r="L158" s="17" t="s">
        <v>52</v>
      </c>
      <c r="M158" s="17" t="s">
        <v>1151</v>
      </c>
      <c r="N158" s="17" t="s">
        <v>1164</v>
      </c>
      <c r="O158" s="17" t="s">
        <v>117</v>
      </c>
      <c r="P158" s="17">
        <v>1</v>
      </c>
      <c r="Q158" s="18">
        <v>46436.75</v>
      </c>
      <c r="R158" s="18">
        <v>46440.75</v>
      </c>
      <c r="S158" s="17">
        <f>NETWORKDAYS(Q158,R158)</f>
        <v>3</v>
      </c>
      <c r="T158" s="18" t="s">
        <v>37</v>
      </c>
      <c r="U158" s="18" t="s">
        <v>37</v>
      </c>
      <c r="V158" s="17" t="s">
        <v>102</v>
      </c>
      <c r="W158" s="19">
        <v>0</v>
      </c>
      <c r="X158" s="17" t="str">
        <f>IF(OR(V158="Completada",V158="No aplica"),"VERDE",IF(V158="Bloqueada","ROJO",IF(R158&lt;TODAY(),"ROJO",IF(AND(R158-TODAY()&lt;=7,W158&lt;1),"AMARILLO","GRIS"))))</f>
        <v>GRIS</v>
      </c>
      <c r="Y158" s="17" t="s">
        <v>37</v>
      </c>
    </row>
    <row r="159" ht="46" customHeight="1" spans="1:25" x14ac:dyDescent="0.25">
      <c r="A159" s="20" t="s">
        <v>1165</v>
      </c>
      <c r="B159" s="20" t="s">
        <v>779</v>
      </c>
      <c r="C159" s="20" t="s">
        <v>51</v>
      </c>
      <c r="D159" s="20" t="s">
        <v>1166</v>
      </c>
      <c r="E159" s="20" t="s">
        <v>1167</v>
      </c>
      <c r="F159" s="20" t="s">
        <v>1168</v>
      </c>
      <c r="G159" s="20" t="s">
        <v>1169</v>
      </c>
      <c r="H159" s="20" t="s">
        <v>1170</v>
      </c>
      <c r="I159" s="20" t="s">
        <v>96</v>
      </c>
      <c r="J159" s="20" t="s">
        <v>97</v>
      </c>
      <c r="K159" s="20" t="s">
        <v>296</v>
      </c>
      <c r="L159" s="20" t="s">
        <v>52</v>
      </c>
      <c r="M159" s="20" t="s">
        <v>1158</v>
      </c>
      <c r="N159" s="20" t="s">
        <v>1171</v>
      </c>
      <c r="O159" s="20" t="s">
        <v>117</v>
      </c>
      <c r="P159" s="20">
        <v>1</v>
      </c>
      <c r="Q159" s="21">
        <v>46441.75</v>
      </c>
      <c r="R159" s="21">
        <v>46444.75</v>
      </c>
      <c r="S159" s="20">
        <f>NETWORKDAYS(Q159,R159)</f>
        <v>4</v>
      </c>
      <c r="T159" s="21" t="s">
        <v>37</v>
      </c>
      <c r="U159" s="21" t="s">
        <v>37</v>
      </c>
      <c r="V159" s="20" t="s">
        <v>102</v>
      </c>
      <c r="W159" s="22">
        <v>0</v>
      </c>
      <c r="X159" s="20" t="str">
        <f>IF(OR(V159="Completada",V159="No aplica"),"VERDE",IF(V159="Bloqueada","ROJO",IF(R159&lt;TODAY(),"ROJO",IF(AND(R159-TODAY()&lt;=7,W159&lt;1),"AMARILLO","GRIS"))))</f>
        <v>GRIS</v>
      </c>
      <c r="Y159" s="20" t="s">
        <v>37</v>
      </c>
    </row>
    <row r="160" ht="46" customHeight="1" spans="1:25" x14ac:dyDescent="0.25">
      <c r="A160" s="17" t="s">
        <v>1172</v>
      </c>
      <c r="B160" s="17" t="s">
        <v>779</v>
      </c>
      <c r="C160" s="17" t="s">
        <v>51</v>
      </c>
      <c r="D160" s="17" t="s">
        <v>1173</v>
      </c>
      <c r="E160" s="17" t="s">
        <v>1174</v>
      </c>
      <c r="F160" s="17" t="s">
        <v>1175</v>
      </c>
      <c r="G160" s="17" t="s">
        <v>1176</v>
      </c>
      <c r="H160" s="17" t="s">
        <v>1177</v>
      </c>
      <c r="I160" s="17" t="s">
        <v>96</v>
      </c>
      <c r="J160" s="17" t="s">
        <v>97</v>
      </c>
      <c r="K160" s="17" t="s">
        <v>296</v>
      </c>
      <c r="L160" s="17" t="s">
        <v>52</v>
      </c>
      <c r="M160" s="17" t="s">
        <v>1165</v>
      </c>
      <c r="N160" s="17" t="s">
        <v>1178</v>
      </c>
      <c r="O160" s="17" t="s">
        <v>101</v>
      </c>
      <c r="P160" s="17">
        <v>2</v>
      </c>
      <c r="Q160" s="18">
        <v>46447.75</v>
      </c>
      <c r="R160" s="18">
        <v>46449.75</v>
      </c>
      <c r="S160" s="17">
        <f>NETWORKDAYS(Q160,R160)</f>
        <v>3</v>
      </c>
      <c r="T160" s="18" t="s">
        <v>37</v>
      </c>
      <c r="U160" s="18" t="s">
        <v>37</v>
      </c>
      <c r="V160" s="17" t="s">
        <v>102</v>
      </c>
      <c r="W160" s="19">
        <v>0</v>
      </c>
      <c r="X160" s="17" t="str">
        <f>IF(OR(V160="Completada",V160="No aplica"),"VERDE",IF(V160="Bloqueada","ROJO",IF(R160&lt;TODAY(),"ROJO",IF(AND(R160-TODAY()&lt;=7,W160&lt;1),"AMARILLO","GRIS"))))</f>
        <v>GRIS</v>
      </c>
      <c r="Y160" s="17" t="s">
        <v>37</v>
      </c>
    </row>
    <row r="161" ht="46" customHeight="1" spans="1:25" x14ac:dyDescent="0.25">
      <c r="A161" s="20" t="s">
        <v>1179</v>
      </c>
      <c r="B161" s="20" t="s">
        <v>779</v>
      </c>
      <c r="C161" s="20" t="s">
        <v>51</v>
      </c>
      <c r="D161" s="20" t="s">
        <v>1180</v>
      </c>
      <c r="E161" s="20" t="s">
        <v>1181</v>
      </c>
      <c r="F161" s="20" t="s">
        <v>1182</v>
      </c>
      <c r="G161" s="20" t="s">
        <v>1183</v>
      </c>
      <c r="H161" s="20" t="s">
        <v>1184</v>
      </c>
      <c r="I161" s="20" t="s">
        <v>96</v>
      </c>
      <c r="J161" s="20" t="s">
        <v>97</v>
      </c>
      <c r="K161" s="20" t="s">
        <v>296</v>
      </c>
      <c r="L161" s="20" t="s">
        <v>52</v>
      </c>
      <c r="M161" s="20" t="s">
        <v>1172</v>
      </c>
      <c r="N161" s="20" t="s">
        <v>1185</v>
      </c>
      <c r="O161" s="20" t="s">
        <v>168</v>
      </c>
      <c r="P161" s="20">
        <v>3</v>
      </c>
      <c r="Q161" s="21">
        <v>46450.75</v>
      </c>
      <c r="R161" s="21">
        <v>46456.75</v>
      </c>
      <c r="S161" s="20">
        <f>NETWORKDAYS(Q161,R161)</f>
        <v>5</v>
      </c>
      <c r="T161" s="21" t="s">
        <v>37</v>
      </c>
      <c r="U161" s="21" t="s">
        <v>37</v>
      </c>
      <c r="V161" s="20" t="s">
        <v>102</v>
      </c>
      <c r="W161" s="22">
        <v>0</v>
      </c>
      <c r="X161" s="20" t="str">
        <f>IF(OR(V161="Completada",V161="No aplica"),"VERDE",IF(V161="Bloqueada","ROJO",IF(R161&lt;TODAY(),"ROJO",IF(AND(R161-TODAY()&lt;=7,W161&lt;1),"AMARILLO","GRIS"))))</f>
        <v>GRIS</v>
      </c>
      <c r="Y161" s="20" t="s">
        <v>37</v>
      </c>
    </row>
    <row r="162" ht="46" customHeight="1" spans="1:25" x14ac:dyDescent="0.25">
      <c r="A162" s="17" t="s">
        <v>1186</v>
      </c>
      <c r="B162" s="17" t="s">
        <v>779</v>
      </c>
      <c r="C162" s="17" t="s">
        <v>52</v>
      </c>
      <c r="D162" s="17" t="s">
        <v>1187</v>
      </c>
      <c r="E162" s="17" t="s">
        <v>1188</v>
      </c>
      <c r="F162" s="17" t="s">
        <v>1189</v>
      </c>
      <c r="G162" s="17" t="s">
        <v>1190</v>
      </c>
      <c r="H162" s="17" t="s">
        <v>1191</v>
      </c>
      <c r="I162" s="17" t="s">
        <v>96</v>
      </c>
      <c r="J162" s="17" t="s">
        <v>97</v>
      </c>
      <c r="K162" s="17" t="s">
        <v>296</v>
      </c>
      <c r="L162" s="17" t="s">
        <v>52</v>
      </c>
      <c r="M162" s="17" t="s">
        <v>37</v>
      </c>
      <c r="N162" s="17" t="s">
        <v>100</v>
      </c>
      <c r="O162" s="17" t="s">
        <v>101</v>
      </c>
      <c r="P162" s="17">
        <v>2</v>
      </c>
      <c r="Q162" s="18">
        <v>46395.75</v>
      </c>
      <c r="R162" s="18">
        <v>46400.75</v>
      </c>
      <c r="S162" s="17">
        <f>NETWORKDAYS(Q162,R162)</f>
        <v>4</v>
      </c>
      <c r="T162" s="18" t="s">
        <v>37</v>
      </c>
      <c r="U162" s="18" t="s">
        <v>37</v>
      </c>
      <c r="V162" s="17" t="s">
        <v>102</v>
      </c>
      <c r="W162" s="19">
        <v>0</v>
      </c>
      <c r="X162" s="17" t="str">
        <f>IF(OR(V162="Completada",V162="No aplica"),"VERDE",IF(V162="Bloqueada","ROJO",IF(R162&lt;TODAY(),"ROJO",IF(AND(R162-TODAY()&lt;=7,W162&lt;1),"AMARILLO","GRIS"))))</f>
        <v>GRIS</v>
      </c>
      <c r="Y162" s="17" t="s">
        <v>37</v>
      </c>
    </row>
    <row r="163" ht="46" customHeight="1" spans="1:25" x14ac:dyDescent="0.25">
      <c r="A163" s="20" t="s">
        <v>1192</v>
      </c>
      <c r="B163" s="20" t="s">
        <v>779</v>
      </c>
      <c r="C163" s="20" t="s">
        <v>52</v>
      </c>
      <c r="D163" s="20" t="s">
        <v>1193</v>
      </c>
      <c r="E163" s="20" t="s">
        <v>1194</v>
      </c>
      <c r="F163" s="20" t="s">
        <v>1195</v>
      </c>
      <c r="G163" s="20" t="s">
        <v>1196</v>
      </c>
      <c r="H163" s="20" t="s">
        <v>1197</v>
      </c>
      <c r="I163" s="20" t="s">
        <v>96</v>
      </c>
      <c r="J163" s="20" t="s">
        <v>97</v>
      </c>
      <c r="K163" s="20" t="s">
        <v>296</v>
      </c>
      <c r="L163" s="20" t="s">
        <v>52</v>
      </c>
      <c r="M163" s="20" t="s">
        <v>1186</v>
      </c>
      <c r="N163" s="20" t="s">
        <v>1198</v>
      </c>
      <c r="O163" s="20" t="s">
        <v>101</v>
      </c>
      <c r="P163" s="20">
        <v>2</v>
      </c>
      <c r="Q163" s="21">
        <v>46401.75</v>
      </c>
      <c r="R163" s="21">
        <v>46405.75</v>
      </c>
      <c r="S163" s="20">
        <f>NETWORKDAYS(Q163,R163)</f>
        <v>3</v>
      </c>
      <c r="T163" s="21" t="s">
        <v>37</v>
      </c>
      <c r="U163" s="21" t="s">
        <v>37</v>
      </c>
      <c r="V163" s="20" t="s">
        <v>102</v>
      </c>
      <c r="W163" s="22">
        <v>0</v>
      </c>
      <c r="X163" s="20" t="str">
        <f>IF(OR(V163="Completada",V163="No aplica"),"VERDE",IF(V163="Bloqueada","ROJO",IF(R163&lt;TODAY(),"ROJO",IF(AND(R163-TODAY()&lt;=7,W163&lt;1),"AMARILLO","GRIS"))))</f>
        <v>GRIS</v>
      </c>
      <c r="Y163" s="20" t="s">
        <v>37</v>
      </c>
    </row>
    <row r="164" ht="46" customHeight="1" spans="1:25" x14ac:dyDescent="0.25">
      <c r="A164" s="17" t="s">
        <v>1199</v>
      </c>
      <c r="B164" s="17" t="s">
        <v>779</v>
      </c>
      <c r="C164" s="17" t="s">
        <v>52</v>
      </c>
      <c r="D164" s="17" t="s">
        <v>1200</v>
      </c>
      <c r="E164" s="17" t="s">
        <v>1201</v>
      </c>
      <c r="F164" s="17" t="s">
        <v>1202</v>
      </c>
      <c r="G164" s="17" t="s">
        <v>1203</v>
      </c>
      <c r="H164" s="17" t="s">
        <v>1204</v>
      </c>
      <c r="I164" s="17" t="s">
        <v>96</v>
      </c>
      <c r="J164" s="17" t="s">
        <v>97</v>
      </c>
      <c r="K164" s="17" t="s">
        <v>296</v>
      </c>
      <c r="L164" s="17" t="s">
        <v>52</v>
      </c>
      <c r="M164" s="17" t="s">
        <v>1192</v>
      </c>
      <c r="N164" s="17" t="s">
        <v>1205</v>
      </c>
      <c r="O164" s="17" t="s">
        <v>101</v>
      </c>
      <c r="P164" s="17">
        <v>2</v>
      </c>
      <c r="Q164" s="18">
        <v>46406.75</v>
      </c>
      <c r="R164" s="18">
        <v>46408.75</v>
      </c>
      <c r="S164" s="17">
        <f>NETWORKDAYS(Q164,R164)</f>
        <v>3</v>
      </c>
      <c r="T164" s="18" t="s">
        <v>37</v>
      </c>
      <c r="U164" s="18" t="s">
        <v>37</v>
      </c>
      <c r="V164" s="17" t="s">
        <v>102</v>
      </c>
      <c r="W164" s="19">
        <v>0</v>
      </c>
      <c r="X164" s="17" t="str">
        <f>IF(OR(V164="Completada",V164="No aplica"),"VERDE",IF(V164="Bloqueada","ROJO",IF(R164&lt;TODAY(),"ROJO",IF(AND(R164-TODAY()&lt;=7,W164&lt;1),"AMARILLO","GRIS"))))</f>
        <v>GRIS</v>
      </c>
      <c r="Y164" s="17" t="s">
        <v>37</v>
      </c>
    </row>
    <row r="165" ht="46" customHeight="1" spans="1:25" x14ac:dyDescent="0.25">
      <c r="A165" s="20" t="s">
        <v>1206</v>
      </c>
      <c r="B165" s="20" t="s">
        <v>779</v>
      </c>
      <c r="C165" s="20" t="s">
        <v>52</v>
      </c>
      <c r="D165" s="20" t="s">
        <v>1207</v>
      </c>
      <c r="E165" s="20" t="s">
        <v>1208</v>
      </c>
      <c r="F165" s="20" t="s">
        <v>1209</v>
      </c>
      <c r="G165" s="20" t="s">
        <v>1210</v>
      </c>
      <c r="H165" s="20" t="s">
        <v>1211</v>
      </c>
      <c r="I165" s="20" t="s">
        <v>96</v>
      </c>
      <c r="J165" s="20" t="s">
        <v>97</v>
      </c>
      <c r="K165" s="20" t="s">
        <v>296</v>
      </c>
      <c r="L165" s="20" t="s">
        <v>52</v>
      </c>
      <c r="M165" s="20" t="s">
        <v>1199</v>
      </c>
      <c r="N165" s="20" t="s">
        <v>1212</v>
      </c>
      <c r="O165" s="20" t="s">
        <v>117</v>
      </c>
      <c r="P165" s="20">
        <v>1</v>
      </c>
      <c r="Q165" s="21">
        <v>46409.75</v>
      </c>
      <c r="R165" s="21">
        <v>46414.75</v>
      </c>
      <c r="S165" s="20">
        <f>NETWORKDAYS(Q165,R165)</f>
        <v>4</v>
      </c>
      <c r="T165" s="21" t="s">
        <v>37</v>
      </c>
      <c r="U165" s="21" t="s">
        <v>37</v>
      </c>
      <c r="V165" s="20" t="s">
        <v>102</v>
      </c>
      <c r="W165" s="22">
        <v>0</v>
      </c>
      <c r="X165" s="20" t="str">
        <f>IF(OR(V165="Completada",V165="No aplica"),"VERDE",IF(V165="Bloqueada","ROJO",IF(R165&lt;TODAY(),"ROJO",IF(AND(R165-TODAY()&lt;=7,W165&lt;1),"AMARILLO","GRIS"))))</f>
        <v>GRIS</v>
      </c>
      <c r="Y165" s="20" t="s">
        <v>37</v>
      </c>
    </row>
    <row r="166" ht="46" customHeight="1" spans="1:25" x14ac:dyDescent="0.25">
      <c r="A166" s="17" t="s">
        <v>1213</v>
      </c>
      <c r="B166" s="17" t="s">
        <v>779</v>
      </c>
      <c r="C166" s="17" t="s">
        <v>52</v>
      </c>
      <c r="D166" s="17" t="s">
        <v>1214</v>
      </c>
      <c r="E166" s="17" t="s">
        <v>1215</v>
      </c>
      <c r="F166" s="17" t="s">
        <v>1216</v>
      </c>
      <c r="G166" s="17" t="s">
        <v>1217</v>
      </c>
      <c r="H166" s="17" t="s">
        <v>1218</v>
      </c>
      <c r="I166" s="17" t="s">
        <v>96</v>
      </c>
      <c r="J166" s="17" t="s">
        <v>97</v>
      </c>
      <c r="K166" s="17" t="s">
        <v>296</v>
      </c>
      <c r="L166" s="17" t="s">
        <v>52</v>
      </c>
      <c r="M166" s="17" t="s">
        <v>1206</v>
      </c>
      <c r="N166" s="17" t="s">
        <v>1219</v>
      </c>
      <c r="O166" s="17" t="s">
        <v>117</v>
      </c>
      <c r="P166" s="17">
        <v>1</v>
      </c>
      <c r="Q166" s="18">
        <v>46415.75</v>
      </c>
      <c r="R166" s="18">
        <v>46419.75</v>
      </c>
      <c r="S166" s="17">
        <f>NETWORKDAYS(Q166,R166)</f>
        <v>3</v>
      </c>
      <c r="T166" s="18" t="s">
        <v>37</v>
      </c>
      <c r="U166" s="18" t="s">
        <v>37</v>
      </c>
      <c r="V166" s="17" t="s">
        <v>102</v>
      </c>
      <c r="W166" s="19">
        <v>0</v>
      </c>
      <c r="X166" s="17" t="str">
        <f>IF(OR(V166="Completada",V166="No aplica"),"VERDE",IF(V166="Bloqueada","ROJO",IF(R166&lt;TODAY(),"ROJO",IF(AND(R166-TODAY()&lt;=7,W166&lt;1),"AMARILLO","GRIS"))))</f>
        <v>GRIS</v>
      </c>
      <c r="Y166" s="17" t="s">
        <v>37</v>
      </c>
    </row>
    <row r="167" ht="46" customHeight="1" spans="1:25" x14ac:dyDescent="0.25">
      <c r="A167" s="20" t="s">
        <v>1220</v>
      </c>
      <c r="B167" s="20" t="s">
        <v>779</v>
      </c>
      <c r="C167" s="20" t="s">
        <v>52</v>
      </c>
      <c r="D167" s="20" t="s">
        <v>1221</v>
      </c>
      <c r="E167" s="20" t="s">
        <v>1222</v>
      </c>
      <c r="F167" s="20" t="s">
        <v>1223</v>
      </c>
      <c r="G167" s="20" t="s">
        <v>1224</v>
      </c>
      <c r="H167" s="20" t="s">
        <v>1225</v>
      </c>
      <c r="I167" s="20" t="s">
        <v>96</v>
      </c>
      <c r="J167" s="20" t="s">
        <v>97</v>
      </c>
      <c r="K167" s="20" t="s">
        <v>296</v>
      </c>
      <c r="L167" s="20" t="s">
        <v>52</v>
      </c>
      <c r="M167" s="20" t="s">
        <v>1213</v>
      </c>
      <c r="N167" s="20" t="s">
        <v>1226</v>
      </c>
      <c r="O167" s="20" t="s">
        <v>101</v>
      </c>
      <c r="P167" s="20">
        <v>2</v>
      </c>
      <c r="Q167" s="21">
        <v>46420.75</v>
      </c>
      <c r="R167" s="21">
        <v>46422.75</v>
      </c>
      <c r="S167" s="20">
        <f>NETWORKDAYS(Q167,R167)</f>
        <v>3</v>
      </c>
      <c r="T167" s="21" t="s">
        <v>37</v>
      </c>
      <c r="U167" s="21" t="s">
        <v>37</v>
      </c>
      <c r="V167" s="20" t="s">
        <v>102</v>
      </c>
      <c r="W167" s="22">
        <v>0</v>
      </c>
      <c r="X167" s="20" t="str">
        <f>IF(OR(V167="Completada",V167="No aplica"),"VERDE",IF(V167="Bloqueada","ROJO",IF(R167&lt;TODAY(),"ROJO",IF(AND(R167-TODAY()&lt;=7,W167&lt;1),"AMARILLO","GRIS"))))</f>
        <v>GRIS</v>
      </c>
      <c r="Y167" s="20" t="s">
        <v>37</v>
      </c>
    </row>
    <row r="168" ht="46" customHeight="1" spans="1:25" x14ac:dyDescent="0.25">
      <c r="A168" s="17" t="s">
        <v>1227</v>
      </c>
      <c r="B168" s="17" t="s">
        <v>779</v>
      </c>
      <c r="C168" s="17" t="s">
        <v>52</v>
      </c>
      <c r="D168" s="17" t="s">
        <v>1228</v>
      </c>
      <c r="E168" s="17" t="s">
        <v>1229</v>
      </c>
      <c r="F168" s="17" t="s">
        <v>1230</v>
      </c>
      <c r="G168" s="17" t="s">
        <v>1231</v>
      </c>
      <c r="H168" s="17" t="s">
        <v>1232</v>
      </c>
      <c r="I168" s="17" t="s">
        <v>96</v>
      </c>
      <c r="J168" s="17" t="s">
        <v>97</v>
      </c>
      <c r="K168" s="17" t="s">
        <v>296</v>
      </c>
      <c r="L168" s="17" t="s">
        <v>52</v>
      </c>
      <c r="M168" s="17" t="s">
        <v>1220</v>
      </c>
      <c r="N168" s="17" t="s">
        <v>1233</v>
      </c>
      <c r="O168" s="17" t="s">
        <v>101</v>
      </c>
      <c r="P168" s="17">
        <v>2</v>
      </c>
      <c r="Q168" s="18">
        <v>46423.75</v>
      </c>
      <c r="R168" s="18">
        <v>46428.75</v>
      </c>
      <c r="S168" s="17">
        <f>NETWORKDAYS(Q168,R168)</f>
        <v>4</v>
      </c>
      <c r="T168" s="18" t="s">
        <v>37</v>
      </c>
      <c r="U168" s="18" t="s">
        <v>37</v>
      </c>
      <c r="V168" s="17" t="s">
        <v>102</v>
      </c>
      <c r="W168" s="19">
        <v>0</v>
      </c>
      <c r="X168" s="17" t="str">
        <f>IF(OR(V168="Completada",V168="No aplica"),"VERDE",IF(V168="Bloqueada","ROJO",IF(R168&lt;TODAY(),"ROJO",IF(AND(R168-TODAY()&lt;=7,W168&lt;1),"AMARILLO","GRIS"))))</f>
        <v>GRIS</v>
      </c>
      <c r="Y168" s="17" t="s">
        <v>37</v>
      </c>
    </row>
    <row r="169" ht="46" customHeight="1" spans="1:25" x14ac:dyDescent="0.25">
      <c r="A169" s="20" t="s">
        <v>1234</v>
      </c>
      <c r="B169" s="20" t="s">
        <v>779</v>
      </c>
      <c r="C169" s="20" t="s">
        <v>52</v>
      </c>
      <c r="D169" s="20" t="s">
        <v>1235</v>
      </c>
      <c r="E169" s="20" t="s">
        <v>1236</v>
      </c>
      <c r="F169" s="20" t="s">
        <v>1237</v>
      </c>
      <c r="G169" s="20" t="s">
        <v>1238</v>
      </c>
      <c r="H169" s="20" t="s">
        <v>1239</v>
      </c>
      <c r="I169" s="20" t="s">
        <v>96</v>
      </c>
      <c r="J169" s="20" t="s">
        <v>97</v>
      </c>
      <c r="K169" s="20" t="s">
        <v>296</v>
      </c>
      <c r="L169" s="20" t="s">
        <v>52</v>
      </c>
      <c r="M169" s="20" t="s">
        <v>1227</v>
      </c>
      <c r="N169" s="20" t="s">
        <v>1240</v>
      </c>
      <c r="O169" s="20" t="s">
        <v>117</v>
      </c>
      <c r="P169" s="20">
        <v>1</v>
      </c>
      <c r="Q169" s="21">
        <v>46429.75</v>
      </c>
      <c r="R169" s="21">
        <v>46433.75</v>
      </c>
      <c r="S169" s="20">
        <f>NETWORKDAYS(Q169,R169)</f>
        <v>3</v>
      </c>
      <c r="T169" s="21" t="s">
        <v>37</v>
      </c>
      <c r="U169" s="21" t="s">
        <v>37</v>
      </c>
      <c r="V169" s="20" t="s">
        <v>102</v>
      </c>
      <c r="W169" s="22">
        <v>0</v>
      </c>
      <c r="X169" s="20" t="str">
        <f>IF(OR(V169="Completada",V169="No aplica"),"VERDE",IF(V169="Bloqueada","ROJO",IF(R169&lt;TODAY(),"ROJO",IF(AND(R169-TODAY()&lt;=7,W169&lt;1),"AMARILLO","GRIS"))))</f>
        <v>GRIS</v>
      </c>
      <c r="Y169" s="20" t="s">
        <v>37</v>
      </c>
    </row>
    <row r="170" ht="46" customHeight="1" spans="1:25" x14ac:dyDescent="0.25">
      <c r="A170" s="17" t="s">
        <v>1241</v>
      </c>
      <c r="B170" s="17" t="s">
        <v>779</v>
      </c>
      <c r="C170" s="17" t="s">
        <v>52</v>
      </c>
      <c r="D170" s="17" t="s">
        <v>1242</v>
      </c>
      <c r="E170" s="17" t="s">
        <v>1243</v>
      </c>
      <c r="F170" s="17" t="s">
        <v>1244</v>
      </c>
      <c r="G170" s="17" t="s">
        <v>1245</v>
      </c>
      <c r="H170" s="17" t="s">
        <v>1246</v>
      </c>
      <c r="I170" s="17" t="s">
        <v>96</v>
      </c>
      <c r="J170" s="17" t="s">
        <v>97</v>
      </c>
      <c r="K170" s="17" t="s">
        <v>296</v>
      </c>
      <c r="L170" s="17" t="s">
        <v>52</v>
      </c>
      <c r="M170" s="17" t="s">
        <v>1234</v>
      </c>
      <c r="N170" s="17" t="s">
        <v>1247</v>
      </c>
      <c r="O170" s="17" t="s">
        <v>117</v>
      </c>
      <c r="P170" s="17">
        <v>1</v>
      </c>
      <c r="Q170" s="18">
        <v>46434.75</v>
      </c>
      <c r="R170" s="18">
        <v>46436.75</v>
      </c>
      <c r="S170" s="17">
        <f>NETWORKDAYS(Q170,R170)</f>
        <v>3</v>
      </c>
      <c r="T170" s="18" t="s">
        <v>37</v>
      </c>
      <c r="U170" s="18" t="s">
        <v>37</v>
      </c>
      <c r="V170" s="17" t="s">
        <v>102</v>
      </c>
      <c r="W170" s="19">
        <v>0</v>
      </c>
      <c r="X170" s="17" t="str">
        <f>IF(OR(V170="Completada",V170="No aplica"),"VERDE",IF(V170="Bloqueada","ROJO",IF(R170&lt;TODAY(),"ROJO",IF(AND(R170-TODAY()&lt;=7,W170&lt;1),"AMARILLO","GRIS"))))</f>
        <v>GRIS</v>
      </c>
      <c r="Y170" s="17" t="s">
        <v>37</v>
      </c>
    </row>
    <row r="171" ht="46" customHeight="1" spans="1:25" x14ac:dyDescent="0.25">
      <c r="A171" s="20" t="s">
        <v>1248</v>
      </c>
      <c r="B171" s="20" t="s">
        <v>779</v>
      </c>
      <c r="C171" s="20" t="s">
        <v>52</v>
      </c>
      <c r="D171" s="20" t="s">
        <v>1249</v>
      </c>
      <c r="E171" s="20" t="s">
        <v>1250</v>
      </c>
      <c r="F171" s="20" t="s">
        <v>1251</v>
      </c>
      <c r="G171" s="20" t="s">
        <v>1252</v>
      </c>
      <c r="H171" s="20" t="s">
        <v>1253</v>
      </c>
      <c r="I171" s="20" t="s">
        <v>96</v>
      </c>
      <c r="J171" s="20" t="s">
        <v>97</v>
      </c>
      <c r="K171" s="20" t="s">
        <v>296</v>
      </c>
      <c r="L171" s="20" t="s">
        <v>52</v>
      </c>
      <c r="M171" s="20" t="s">
        <v>1241</v>
      </c>
      <c r="N171" s="20" t="s">
        <v>1254</v>
      </c>
      <c r="O171" s="20" t="s">
        <v>117</v>
      </c>
      <c r="P171" s="20">
        <v>1</v>
      </c>
      <c r="Q171" s="21">
        <v>46437.75</v>
      </c>
      <c r="R171" s="21">
        <v>46442.75</v>
      </c>
      <c r="S171" s="20">
        <f>NETWORKDAYS(Q171,R171)</f>
        <v>4</v>
      </c>
      <c r="T171" s="21" t="s">
        <v>37</v>
      </c>
      <c r="U171" s="21" t="s">
        <v>37</v>
      </c>
      <c r="V171" s="20" t="s">
        <v>102</v>
      </c>
      <c r="W171" s="22">
        <v>0</v>
      </c>
      <c r="X171" s="20" t="str">
        <f>IF(OR(V171="Completada",V171="No aplica"),"VERDE",IF(V171="Bloqueada","ROJO",IF(R171&lt;TODAY(),"ROJO",IF(AND(R171-TODAY()&lt;=7,W171&lt;1),"AMARILLO","GRIS"))))</f>
        <v>GRIS</v>
      </c>
      <c r="Y171" s="20" t="s">
        <v>37</v>
      </c>
    </row>
    <row r="172" ht="46" customHeight="1" spans="1:25" x14ac:dyDescent="0.25">
      <c r="A172" s="17" t="s">
        <v>1255</v>
      </c>
      <c r="B172" s="17" t="s">
        <v>779</v>
      </c>
      <c r="C172" s="17" t="s">
        <v>52</v>
      </c>
      <c r="D172" s="17" t="s">
        <v>1256</v>
      </c>
      <c r="E172" s="17" t="s">
        <v>1257</v>
      </c>
      <c r="F172" s="17" t="s">
        <v>1258</v>
      </c>
      <c r="G172" s="17" t="s">
        <v>1259</v>
      </c>
      <c r="H172" s="17" t="s">
        <v>1260</v>
      </c>
      <c r="I172" s="17" t="s">
        <v>96</v>
      </c>
      <c r="J172" s="17" t="s">
        <v>97</v>
      </c>
      <c r="K172" s="17" t="s">
        <v>296</v>
      </c>
      <c r="L172" s="17" t="s">
        <v>52</v>
      </c>
      <c r="M172" s="17" t="s">
        <v>1248</v>
      </c>
      <c r="N172" s="17" t="s">
        <v>1261</v>
      </c>
      <c r="O172" s="17" t="s">
        <v>117</v>
      </c>
      <c r="P172" s="17">
        <v>1</v>
      </c>
      <c r="Q172" s="18">
        <v>46443.75</v>
      </c>
      <c r="R172" s="18">
        <v>46447.75</v>
      </c>
      <c r="S172" s="17">
        <f>NETWORKDAYS(Q172,R172)</f>
        <v>3</v>
      </c>
      <c r="T172" s="18" t="s">
        <v>37</v>
      </c>
      <c r="U172" s="18" t="s">
        <v>37</v>
      </c>
      <c r="V172" s="17" t="s">
        <v>102</v>
      </c>
      <c r="W172" s="19">
        <v>0</v>
      </c>
      <c r="X172" s="17" t="str">
        <f>IF(OR(V172="Completada",V172="No aplica"),"VERDE",IF(V172="Bloqueada","ROJO",IF(R172&lt;TODAY(),"ROJO",IF(AND(R172-TODAY()&lt;=7,W172&lt;1),"AMARILLO","GRIS"))))</f>
        <v>GRIS</v>
      </c>
      <c r="Y172" s="17" t="s">
        <v>37</v>
      </c>
    </row>
    <row r="173" ht="46" customHeight="1" spans="1:25" x14ac:dyDescent="0.25">
      <c r="A173" s="20" t="s">
        <v>1262</v>
      </c>
      <c r="B173" s="20" t="s">
        <v>779</v>
      </c>
      <c r="C173" s="20" t="s">
        <v>53</v>
      </c>
      <c r="D173" s="20" t="s">
        <v>1263</v>
      </c>
      <c r="E173" s="20" t="s">
        <v>1264</v>
      </c>
      <c r="F173" s="20" t="s">
        <v>1265</v>
      </c>
      <c r="G173" s="20" t="s">
        <v>1266</v>
      </c>
      <c r="H173" s="20" t="s">
        <v>1267</v>
      </c>
      <c r="I173" s="20" t="s">
        <v>96</v>
      </c>
      <c r="J173" s="20" t="s">
        <v>97</v>
      </c>
      <c r="K173" s="20" t="s">
        <v>296</v>
      </c>
      <c r="L173" s="20" t="s">
        <v>53</v>
      </c>
      <c r="M173" s="20" t="s">
        <v>37</v>
      </c>
      <c r="N173" s="20" t="s">
        <v>100</v>
      </c>
      <c r="O173" s="20" t="s">
        <v>101</v>
      </c>
      <c r="P173" s="20">
        <v>2</v>
      </c>
      <c r="Q173" s="21">
        <v>46391.75</v>
      </c>
      <c r="R173" s="21">
        <v>46394.75</v>
      </c>
      <c r="S173" s="20">
        <f>NETWORKDAYS(Q173,R173)</f>
        <v>4</v>
      </c>
      <c r="T173" s="21" t="s">
        <v>37</v>
      </c>
      <c r="U173" s="21" t="s">
        <v>37</v>
      </c>
      <c r="V173" s="20" t="s">
        <v>102</v>
      </c>
      <c r="W173" s="22">
        <v>0</v>
      </c>
      <c r="X173" s="20" t="str">
        <f>IF(OR(V173="Completada",V173="No aplica"),"VERDE",IF(V173="Bloqueada","ROJO",IF(R173&lt;TODAY(),"ROJO",IF(AND(R173-TODAY()&lt;=7,W173&lt;1),"AMARILLO","GRIS"))))</f>
        <v>GRIS</v>
      </c>
      <c r="Y173" s="20" t="s">
        <v>37</v>
      </c>
    </row>
    <row r="174" ht="46" customHeight="1" spans="1:25" x14ac:dyDescent="0.25">
      <c r="A174" s="17" t="s">
        <v>1268</v>
      </c>
      <c r="B174" s="17" t="s">
        <v>779</v>
      </c>
      <c r="C174" s="17" t="s">
        <v>53</v>
      </c>
      <c r="D174" s="17" t="s">
        <v>1269</v>
      </c>
      <c r="E174" s="17" t="s">
        <v>1270</v>
      </c>
      <c r="F174" s="17" t="s">
        <v>1271</v>
      </c>
      <c r="G174" s="17" t="s">
        <v>1272</v>
      </c>
      <c r="H174" s="17" t="s">
        <v>1273</v>
      </c>
      <c r="I174" s="17" t="s">
        <v>96</v>
      </c>
      <c r="J174" s="17" t="s">
        <v>97</v>
      </c>
      <c r="K174" s="17" t="s">
        <v>296</v>
      </c>
      <c r="L174" s="17" t="s">
        <v>53</v>
      </c>
      <c r="M174" s="17" t="s">
        <v>1262</v>
      </c>
      <c r="N174" s="17" t="s">
        <v>1274</v>
      </c>
      <c r="O174" s="17" t="s">
        <v>101</v>
      </c>
      <c r="P174" s="17">
        <v>2</v>
      </c>
      <c r="Q174" s="18">
        <v>46395.75</v>
      </c>
      <c r="R174" s="18">
        <v>46399.75</v>
      </c>
      <c r="S174" s="17">
        <f>NETWORKDAYS(Q174,R174)</f>
        <v>3</v>
      </c>
      <c r="T174" s="18" t="s">
        <v>37</v>
      </c>
      <c r="U174" s="18" t="s">
        <v>37</v>
      </c>
      <c r="V174" s="17" t="s">
        <v>102</v>
      </c>
      <c r="W174" s="19">
        <v>0</v>
      </c>
      <c r="X174" s="17" t="str">
        <f>IF(OR(V174="Completada",V174="No aplica"),"VERDE",IF(V174="Bloqueada","ROJO",IF(R174&lt;TODAY(),"ROJO",IF(AND(R174-TODAY()&lt;=7,W174&lt;1),"AMARILLO","GRIS"))))</f>
        <v>GRIS</v>
      </c>
      <c r="Y174" s="17" t="s">
        <v>37</v>
      </c>
    </row>
    <row r="175" ht="46" customHeight="1" spans="1:25" x14ac:dyDescent="0.25">
      <c r="A175" s="20" t="s">
        <v>1275</v>
      </c>
      <c r="B175" s="20" t="s">
        <v>779</v>
      </c>
      <c r="C175" s="20" t="s">
        <v>53</v>
      </c>
      <c r="D175" s="20" t="s">
        <v>1276</v>
      </c>
      <c r="E175" s="20" t="s">
        <v>1277</v>
      </c>
      <c r="F175" s="20" t="s">
        <v>1278</v>
      </c>
      <c r="G175" s="20" t="s">
        <v>1279</v>
      </c>
      <c r="H175" s="20" t="s">
        <v>1280</v>
      </c>
      <c r="I175" s="20" t="s">
        <v>96</v>
      </c>
      <c r="J175" s="20" t="s">
        <v>97</v>
      </c>
      <c r="K175" s="20" t="s">
        <v>296</v>
      </c>
      <c r="L175" s="20" t="s">
        <v>53</v>
      </c>
      <c r="M175" s="20" t="s">
        <v>1268</v>
      </c>
      <c r="N175" s="20" t="s">
        <v>1281</v>
      </c>
      <c r="O175" s="20" t="s">
        <v>101</v>
      </c>
      <c r="P175" s="20">
        <v>2</v>
      </c>
      <c r="Q175" s="21">
        <v>46400.75</v>
      </c>
      <c r="R175" s="21">
        <v>46402.75</v>
      </c>
      <c r="S175" s="20">
        <f>NETWORKDAYS(Q175,R175)</f>
        <v>3</v>
      </c>
      <c r="T175" s="21" t="s">
        <v>37</v>
      </c>
      <c r="U175" s="21" t="s">
        <v>37</v>
      </c>
      <c r="V175" s="20" t="s">
        <v>102</v>
      </c>
      <c r="W175" s="22">
        <v>0</v>
      </c>
      <c r="X175" s="20" t="str">
        <f>IF(OR(V175="Completada",V175="No aplica"),"VERDE",IF(V175="Bloqueada","ROJO",IF(R175&lt;TODAY(),"ROJO",IF(AND(R175-TODAY()&lt;=7,W175&lt;1),"AMARILLO","GRIS"))))</f>
        <v>GRIS</v>
      </c>
      <c r="Y175" s="20" t="s">
        <v>37</v>
      </c>
    </row>
    <row r="176" ht="46" customHeight="1" spans="1:25" x14ac:dyDescent="0.25">
      <c r="A176" s="17" t="s">
        <v>1282</v>
      </c>
      <c r="B176" s="17" t="s">
        <v>779</v>
      </c>
      <c r="C176" s="17" t="s">
        <v>53</v>
      </c>
      <c r="D176" s="17" t="s">
        <v>1283</v>
      </c>
      <c r="E176" s="17" t="s">
        <v>1284</v>
      </c>
      <c r="F176" s="17" t="s">
        <v>1285</v>
      </c>
      <c r="G176" s="17" t="s">
        <v>1286</v>
      </c>
      <c r="H176" s="17" t="s">
        <v>1287</v>
      </c>
      <c r="I176" s="17" t="s">
        <v>96</v>
      </c>
      <c r="J176" s="17" t="s">
        <v>97</v>
      </c>
      <c r="K176" s="17" t="s">
        <v>296</v>
      </c>
      <c r="L176" s="17" t="s">
        <v>53</v>
      </c>
      <c r="M176" s="17" t="s">
        <v>1275</v>
      </c>
      <c r="N176" s="17" t="s">
        <v>1288</v>
      </c>
      <c r="O176" s="17" t="s">
        <v>117</v>
      </c>
      <c r="P176" s="17">
        <v>1</v>
      </c>
      <c r="Q176" s="18">
        <v>46405.75</v>
      </c>
      <c r="R176" s="18">
        <v>46408.75</v>
      </c>
      <c r="S176" s="17">
        <f>NETWORKDAYS(Q176,R176)</f>
        <v>4</v>
      </c>
      <c r="T176" s="18" t="s">
        <v>37</v>
      </c>
      <c r="U176" s="18" t="s">
        <v>37</v>
      </c>
      <c r="V176" s="17" t="s">
        <v>102</v>
      </c>
      <c r="W176" s="19">
        <v>0</v>
      </c>
      <c r="X176" s="17" t="str">
        <f>IF(OR(V176="Completada",V176="No aplica"),"VERDE",IF(V176="Bloqueada","ROJO",IF(R176&lt;TODAY(),"ROJO",IF(AND(R176-TODAY()&lt;=7,W176&lt;1),"AMARILLO","GRIS"))))</f>
        <v>GRIS</v>
      </c>
      <c r="Y176" s="17" t="s">
        <v>37</v>
      </c>
    </row>
    <row r="177" ht="46" customHeight="1" spans="1:25" x14ac:dyDescent="0.25">
      <c r="A177" s="20" t="s">
        <v>1289</v>
      </c>
      <c r="B177" s="20" t="s">
        <v>779</v>
      </c>
      <c r="C177" s="20" t="s">
        <v>53</v>
      </c>
      <c r="D177" s="20" t="s">
        <v>1290</v>
      </c>
      <c r="E177" s="20" t="s">
        <v>1291</v>
      </c>
      <c r="F177" s="20" t="s">
        <v>1292</v>
      </c>
      <c r="G177" s="20" t="s">
        <v>1293</v>
      </c>
      <c r="H177" s="20" t="s">
        <v>1294</v>
      </c>
      <c r="I177" s="20" t="s">
        <v>96</v>
      </c>
      <c r="J177" s="20" t="s">
        <v>97</v>
      </c>
      <c r="K177" s="20" t="s">
        <v>296</v>
      </c>
      <c r="L177" s="20" t="s">
        <v>53</v>
      </c>
      <c r="M177" s="20" t="s">
        <v>1282</v>
      </c>
      <c r="N177" s="20" t="s">
        <v>1295</v>
      </c>
      <c r="O177" s="20" t="s">
        <v>117</v>
      </c>
      <c r="P177" s="20">
        <v>1</v>
      </c>
      <c r="Q177" s="21">
        <v>46409.75</v>
      </c>
      <c r="R177" s="21">
        <v>46413.75</v>
      </c>
      <c r="S177" s="20">
        <f>NETWORKDAYS(Q177,R177)</f>
        <v>3</v>
      </c>
      <c r="T177" s="21" t="s">
        <v>37</v>
      </c>
      <c r="U177" s="21" t="s">
        <v>37</v>
      </c>
      <c r="V177" s="20" t="s">
        <v>102</v>
      </c>
      <c r="W177" s="22">
        <v>0</v>
      </c>
      <c r="X177" s="20" t="str">
        <f>IF(OR(V177="Completada",V177="No aplica"),"VERDE",IF(V177="Bloqueada","ROJO",IF(R177&lt;TODAY(),"ROJO",IF(AND(R177-TODAY()&lt;=7,W177&lt;1),"AMARILLO","GRIS"))))</f>
        <v>GRIS</v>
      </c>
      <c r="Y177" s="20" t="s">
        <v>37</v>
      </c>
    </row>
    <row r="178" ht="46" customHeight="1" spans="1:25" x14ac:dyDescent="0.25">
      <c r="A178" s="17" t="s">
        <v>1296</v>
      </c>
      <c r="B178" s="17" t="s">
        <v>779</v>
      </c>
      <c r="C178" s="17" t="s">
        <v>53</v>
      </c>
      <c r="D178" s="17" t="s">
        <v>1297</v>
      </c>
      <c r="E178" s="17" t="s">
        <v>1298</v>
      </c>
      <c r="F178" s="17" t="s">
        <v>1299</v>
      </c>
      <c r="G178" s="17" t="s">
        <v>1300</v>
      </c>
      <c r="H178" s="17" t="s">
        <v>1301</v>
      </c>
      <c r="I178" s="17" t="s">
        <v>96</v>
      </c>
      <c r="J178" s="17" t="s">
        <v>97</v>
      </c>
      <c r="K178" s="17" t="s">
        <v>296</v>
      </c>
      <c r="L178" s="17" t="s">
        <v>53</v>
      </c>
      <c r="M178" s="17" t="s">
        <v>1289</v>
      </c>
      <c r="N178" s="17" t="s">
        <v>1302</v>
      </c>
      <c r="O178" s="17" t="s">
        <v>117</v>
      </c>
      <c r="P178" s="17">
        <v>1</v>
      </c>
      <c r="Q178" s="18">
        <v>46414.75</v>
      </c>
      <c r="R178" s="18">
        <v>46416.75</v>
      </c>
      <c r="S178" s="17">
        <f>NETWORKDAYS(Q178,R178)</f>
        <v>3</v>
      </c>
      <c r="T178" s="18" t="s">
        <v>37</v>
      </c>
      <c r="U178" s="18" t="s">
        <v>37</v>
      </c>
      <c r="V178" s="17" t="s">
        <v>102</v>
      </c>
      <c r="W178" s="19">
        <v>0</v>
      </c>
      <c r="X178" s="17" t="str">
        <f>IF(OR(V178="Completada",V178="No aplica"),"VERDE",IF(V178="Bloqueada","ROJO",IF(R178&lt;TODAY(),"ROJO",IF(AND(R178-TODAY()&lt;=7,W178&lt;1),"AMARILLO","GRIS"))))</f>
        <v>GRIS</v>
      </c>
      <c r="Y178" s="17" t="s">
        <v>37</v>
      </c>
    </row>
    <row r="179" ht="46" customHeight="1" spans="1:25" x14ac:dyDescent="0.25">
      <c r="A179" s="20" t="s">
        <v>1303</v>
      </c>
      <c r="B179" s="20" t="s">
        <v>779</v>
      </c>
      <c r="C179" s="20" t="s">
        <v>53</v>
      </c>
      <c r="D179" s="20" t="s">
        <v>1304</v>
      </c>
      <c r="E179" s="20" t="s">
        <v>1305</v>
      </c>
      <c r="F179" s="20" t="s">
        <v>1306</v>
      </c>
      <c r="G179" s="20" t="s">
        <v>1307</v>
      </c>
      <c r="H179" s="20" t="s">
        <v>1308</v>
      </c>
      <c r="I179" s="20" t="s">
        <v>96</v>
      </c>
      <c r="J179" s="20" t="s">
        <v>97</v>
      </c>
      <c r="K179" s="20" t="s">
        <v>296</v>
      </c>
      <c r="L179" s="20" t="s">
        <v>53</v>
      </c>
      <c r="M179" s="20" t="s">
        <v>1296</v>
      </c>
      <c r="N179" s="20" t="s">
        <v>1309</v>
      </c>
      <c r="O179" s="20" t="s">
        <v>117</v>
      </c>
      <c r="P179" s="20">
        <v>1</v>
      </c>
      <c r="Q179" s="21">
        <v>46419.75</v>
      </c>
      <c r="R179" s="21">
        <v>46422.75</v>
      </c>
      <c r="S179" s="20">
        <f>NETWORKDAYS(Q179,R179)</f>
        <v>4</v>
      </c>
      <c r="T179" s="21" t="s">
        <v>37</v>
      </c>
      <c r="U179" s="21" t="s">
        <v>37</v>
      </c>
      <c r="V179" s="20" t="s">
        <v>102</v>
      </c>
      <c r="W179" s="22">
        <v>0</v>
      </c>
      <c r="X179" s="20" t="str">
        <f>IF(OR(V179="Completada",V179="No aplica"),"VERDE",IF(V179="Bloqueada","ROJO",IF(R179&lt;TODAY(),"ROJO",IF(AND(R179-TODAY()&lt;=7,W179&lt;1),"AMARILLO","GRIS"))))</f>
        <v>GRIS</v>
      </c>
      <c r="Y179" s="20" t="s">
        <v>37</v>
      </c>
    </row>
    <row r="180" ht="46" customHeight="1" spans="1:25" x14ac:dyDescent="0.25">
      <c r="A180" s="17" t="s">
        <v>1310</v>
      </c>
      <c r="B180" s="17" t="s">
        <v>779</v>
      </c>
      <c r="C180" s="17" t="s">
        <v>53</v>
      </c>
      <c r="D180" s="17" t="s">
        <v>1311</v>
      </c>
      <c r="E180" s="17" t="s">
        <v>1312</v>
      </c>
      <c r="F180" s="17" t="s">
        <v>1313</v>
      </c>
      <c r="G180" s="17" t="s">
        <v>1314</v>
      </c>
      <c r="H180" s="17" t="s">
        <v>1315</v>
      </c>
      <c r="I180" s="17" t="s">
        <v>96</v>
      </c>
      <c r="J180" s="17" t="s">
        <v>97</v>
      </c>
      <c r="K180" s="17" t="s">
        <v>296</v>
      </c>
      <c r="L180" s="17" t="s">
        <v>53</v>
      </c>
      <c r="M180" s="17" t="s">
        <v>1303</v>
      </c>
      <c r="N180" s="17" t="s">
        <v>1316</v>
      </c>
      <c r="O180" s="17" t="s">
        <v>117</v>
      </c>
      <c r="P180" s="17">
        <v>1</v>
      </c>
      <c r="Q180" s="18">
        <v>46423.75</v>
      </c>
      <c r="R180" s="18">
        <v>46427.75</v>
      </c>
      <c r="S180" s="17">
        <f>NETWORKDAYS(Q180,R180)</f>
        <v>3</v>
      </c>
      <c r="T180" s="18" t="s">
        <v>37</v>
      </c>
      <c r="U180" s="18" t="s">
        <v>37</v>
      </c>
      <c r="V180" s="17" t="s">
        <v>102</v>
      </c>
      <c r="W180" s="19">
        <v>0</v>
      </c>
      <c r="X180" s="17" t="str">
        <f>IF(OR(V180="Completada",V180="No aplica"),"VERDE",IF(V180="Bloqueada","ROJO",IF(R180&lt;TODAY(),"ROJO",IF(AND(R180-TODAY()&lt;=7,W180&lt;1),"AMARILLO","GRIS"))))</f>
        <v>GRIS</v>
      </c>
      <c r="Y180" s="17" t="s">
        <v>37</v>
      </c>
    </row>
    <row r="181" ht="46" customHeight="1" spans="1:25" x14ac:dyDescent="0.25">
      <c r="A181" s="20" t="s">
        <v>1317</v>
      </c>
      <c r="B181" s="20" t="s">
        <v>779</v>
      </c>
      <c r="C181" s="20" t="s">
        <v>53</v>
      </c>
      <c r="D181" s="20" t="s">
        <v>1318</v>
      </c>
      <c r="E181" s="20" t="s">
        <v>1319</v>
      </c>
      <c r="F181" s="20" t="s">
        <v>1320</v>
      </c>
      <c r="G181" s="20" t="s">
        <v>1321</v>
      </c>
      <c r="H181" s="20" t="s">
        <v>1322</v>
      </c>
      <c r="I181" s="20" t="s">
        <v>96</v>
      </c>
      <c r="J181" s="20" t="s">
        <v>97</v>
      </c>
      <c r="K181" s="20" t="s">
        <v>296</v>
      </c>
      <c r="L181" s="20" t="s">
        <v>53</v>
      </c>
      <c r="M181" s="20" t="s">
        <v>1310</v>
      </c>
      <c r="N181" s="20" t="s">
        <v>1323</v>
      </c>
      <c r="O181" s="20" t="s">
        <v>117</v>
      </c>
      <c r="P181" s="20">
        <v>1</v>
      </c>
      <c r="Q181" s="21">
        <v>46428.75</v>
      </c>
      <c r="R181" s="21">
        <v>46430.75</v>
      </c>
      <c r="S181" s="20">
        <f>NETWORKDAYS(Q181,R181)</f>
        <v>3</v>
      </c>
      <c r="T181" s="21" t="s">
        <v>37</v>
      </c>
      <c r="U181" s="21" t="s">
        <v>37</v>
      </c>
      <c r="V181" s="20" t="s">
        <v>102</v>
      </c>
      <c r="W181" s="22">
        <v>0</v>
      </c>
      <c r="X181" s="20" t="str">
        <f>IF(OR(V181="Completada",V181="No aplica"),"VERDE",IF(V181="Bloqueada","ROJO",IF(R181&lt;TODAY(),"ROJO",IF(AND(R181-TODAY()&lt;=7,W181&lt;1),"AMARILLO","GRIS"))))</f>
        <v>GRIS</v>
      </c>
      <c r="Y181" s="20" t="s">
        <v>37</v>
      </c>
    </row>
    <row r="182" ht="46" customHeight="1" spans="1:25" x14ac:dyDescent="0.25">
      <c r="A182" s="17" t="s">
        <v>1324</v>
      </c>
      <c r="B182" s="17" t="s">
        <v>779</v>
      </c>
      <c r="C182" s="17" t="s">
        <v>53</v>
      </c>
      <c r="D182" s="17" t="s">
        <v>1325</v>
      </c>
      <c r="E182" s="17" t="s">
        <v>1326</v>
      </c>
      <c r="F182" s="17" t="s">
        <v>1327</v>
      </c>
      <c r="G182" s="17" t="s">
        <v>1328</v>
      </c>
      <c r="H182" s="17" t="s">
        <v>1329</v>
      </c>
      <c r="I182" s="17" t="s">
        <v>96</v>
      </c>
      <c r="J182" s="17" t="s">
        <v>97</v>
      </c>
      <c r="K182" s="17" t="s">
        <v>296</v>
      </c>
      <c r="L182" s="17" t="s">
        <v>53</v>
      </c>
      <c r="M182" s="17" t="s">
        <v>1317</v>
      </c>
      <c r="N182" s="17" t="s">
        <v>1330</v>
      </c>
      <c r="O182" s="17" t="s">
        <v>117</v>
      </c>
      <c r="P182" s="17">
        <v>1</v>
      </c>
      <c r="Q182" s="18">
        <v>46433.75</v>
      </c>
      <c r="R182" s="18">
        <v>46436.75</v>
      </c>
      <c r="S182" s="17">
        <f>NETWORKDAYS(Q182,R182)</f>
        <v>4</v>
      </c>
      <c r="T182" s="18" t="s">
        <v>37</v>
      </c>
      <c r="U182" s="18" t="s">
        <v>37</v>
      </c>
      <c r="V182" s="17" t="s">
        <v>102</v>
      </c>
      <c r="W182" s="19">
        <v>0</v>
      </c>
      <c r="X182" s="17" t="str">
        <f>IF(OR(V182="Completada",V182="No aplica"),"VERDE",IF(V182="Bloqueada","ROJO",IF(R182&lt;TODAY(),"ROJO",IF(AND(R182-TODAY()&lt;=7,W182&lt;1),"AMARILLO","GRIS"))))</f>
        <v>GRIS</v>
      </c>
      <c r="Y182" s="17" t="s">
        <v>37</v>
      </c>
    </row>
    <row r="183" ht="46" customHeight="1" spans="1:25" x14ac:dyDescent="0.25">
      <c r="A183" s="20" t="s">
        <v>1331</v>
      </c>
      <c r="B183" s="20" t="s">
        <v>779</v>
      </c>
      <c r="C183" s="20" t="s">
        <v>53</v>
      </c>
      <c r="D183" s="20" t="s">
        <v>1332</v>
      </c>
      <c r="E183" s="20" t="s">
        <v>1333</v>
      </c>
      <c r="F183" s="20" t="s">
        <v>1334</v>
      </c>
      <c r="G183" s="20" t="s">
        <v>1335</v>
      </c>
      <c r="H183" s="20" t="s">
        <v>1336</v>
      </c>
      <c r="I183" s="20" t="s">
        <v>96</v>
      </c>
      <c r="J183" s="20" t="s">
        <v>97</v>
      </c>
      <c r="K183" s="20" t="s">
        <v>296</v>
      </c>
      <c r="L183" s="20" t="s">
        <v>53</v>
      </c>
      <c r="M183" s="20" t="s">
        <v>1324</v>
      </c>
      <c r="N183" s="20" t="s">
        <v>1337</v>
      </c>
      <c r="O183" s="20" t="s">
        <v>168</v>
      </c>
      <c r="P183" s="20">
        <v>3</v>
      </c>
      <c r="Q183" s="21">
        <v>46437.75</v>
      </c>
      <c r="R183" s="21">
        <v>46443.75</v>
      </c>
      <c r="S183" s="20">
        <f>NETWORKDAYS(Q183,R183)</f>
        <v>5</v>
      </c>
      <c r="T183" s="21" t="s">
        <v>37</v>
      </c>
      <c r="U183" s="21" t="s">
        <v>37</v>
      </c>
      <c r="V183" s="20" t="s">
        <v>102</v>
      </c>
      <c r="W183" s="22">
        <v>0</v>
      </c>
      <c r="X183" s="20" t="str">
        <f>IF(OR(V183="Completada",V183="No aplica"),"VERDE",IF(V183="Bloqueada","ROJO",IF(R183&lt;TODAY(),"ROJO",IF(AND(R183-TODAY()&lt;=7,W183&lt;1),"AMARILLO","GRIS"))))</f>
        <v>GRIS</v>
      </c>
      <c r="Y183" s="20" t="s">
        <v>37</v>
      </c>
    </row>
    <row r="184" ht="46" customHeight="1" spans="1:25" x14ac:dyDescent="0.25">
      <c r="A184" s="17" t="s">
        <v>1338</v>
      </c>
      <c r="B184" s="17" t="s">
        <v>779</v>
      </c>
      <c r="C184" s="17" t="s">
        <v>54</v>
      </c>
      <c r="D184" s="17" t="s">
        <v>1339</v>
      </c>
      <c r="E184" s="17" t="s">
        <v>1340</v>
      </c>
      <c r="F184" s="17" t="s">
        <v>1341</v>
      </c>
      <c r="G184" s="17" t="s">
        <v>1342</v>
      </c>
      <c r="H184" s="17" t="s">
        <v>1343</v>
      </c>
      <c r="I184" s="17" t="s">
        <v>96</v>
      </c>
      <c r="J184" s="17" t="s">
        <v>97</v>
      </c>
      <c r="K184" s="17" t="s">
        <v>296</v>
      </c>
      <c r="L184" s="17" t="s">
        <v>1344</v>
      </c>
      <c r="M184" s="17" t="s">
        <v>37</v>
      </c>
      <c r="N184" s="17" t="s">
        <v>100</v>
      </c>
      <c r="O184" s="17" t="s">
        <v>101</v>
      </c>
      <c r="P184" s="17">
        <v>2</v>
      </c>
      <c r="Q184" s="18">
        <v>46392.75</v>
      </c>
      <c r="R184" s="18">
        <v>46395.75</v>
      </c>
      <c r="S184" s="17">
        <f>NETWORKDAYS(Q184,R184)</f>
        <v>4</v>
      </c>
      <c r="T184" s="18" t="s">
        <v>37</v>
      </c>
      <c r="U184" s="18" t="s">
        <v>37</v>
      </c>
      <c r="V184" s="17" t="s">
        <v>102</v>
      </c>
      <c r="W184" s="19">
        <v>0</v>
      </c>
      <c r="X184" s="17" t="str">
        <f>IF(OR(V184="Completada",V184="No aplica"),"VERDE",IF(V184="Bloqueada","ROJO",IF(R184&lt;TODAY(),"ROJO",IF(AND(R184-TODAY()&lt;=7,W184&lt;1),"AMARILLO","GRIS"))))</f>
        <v>GRIS</v>
      </c>
      <c r="Y184" s="17" t="s">
        <v>37</v>
      </c>
    </row>
    <row r="185" ht="46" customHeight="1" spans="1:25" x14ac:dyDescent="0.25">
      <c r="A185" s="20" t="s">
        <v>1345</v>
      </c>
      <c r="B185" s="20" t="s">
        <v>779</v>
      </c>
      <c r="C185" s="20" t="s">
        <v>54</v>
      </c>
      <c r="D185" s="20" t="s">
        <v>1346</v>
      </c>
      <c r="E185" s="20" t="s">
        <v>1347</v>
      </c>
      <c r="F185" s="20" t="s">
        <v>1348</v>
      </c>
      <c r="G185" s="20" t="s">
        <v>1349</v>
      </c>
      <c r="H185" s="20" t="s">
        <v>1350</v>
      </c>
      <c r="I185" s="20" t="s">
        <v>96</v>
      </c>
      <c r="J185" s="20" t="s">
        <v>97</v>
      </c>
      <c r="K185" s="20" t="s">
        <v>296</v>
      </c>
      <c r="L185" s="20" t="s">
        <v>1344</v>
      </c>
      <c r="M185" s="20" t="s">
        <v>1338</v>
      </c>
      <c r="N185" s="20" t="s">
        <v>1351</v>
      </c>
      <c r="O185" s="20" t="s">
        <v>101</v>
      </c>
      <c r="P185" s="20">
        <v>2</v>
      </c>
      <c r="Q185" s="21">
        <v>46398.75</v>
      </c>
      <c r="R185" s="21">
        <v>46400.75</v>
      </c>
      <c r="S185" s="20">
        <f>NETWORKDAYS(Q185,R185)</f>
        <v>3</v>
      </c>
      <c r="T185" s="21" t="s">
        <v>37</v>
      </c>
      <c r="U185" s="21" t="s">
        <v>37</v>
      </c>
      <c r="V185" s="20" t="s">
        <v>102</v>
      </c>
      <c r="W185" s="22">
        <v>0</v>
      </c>
      <c r="X185" s="20" t="str">
        <f>IF(OR(V185="Completada",V185="No aplica"),"VERDE",IF(V185="Bloqueada","ROJO",IF(R185&lt;TODAY(),"ROJO",IF(AND(R185-TODAY()&lt;=7,W185&lt;1),"AMARILLO","GRIS"))))</f>
        <v>GRIS</v>
      </c>
      <c r="Y185" s="20" t="s">
        <v>37</v>
      </c>
    </row>
    <row r="186" ht="46" customHeight="1" spans="1:25" x14ac:dyDescent="0.25">
      <c r="A186" s="17" t="s">
        <v>1352</v>
      </c>
      <c r="B186" s="17" t="s">
        <v>779</v>
      </c>
      <c r="C186" s="17" t="s">
        <v>54</v>
      </c>
      <c r="D186" s="17" t="s">
        <v>1353</v>
      </c>
      <c r="E186" s="17" t="s">
        <v>1354</v>
      </c>
      <c r="F186" s="17" t="s">
        <v>1355</v>
      </c>
      <c r="G186" s="17" t="s">
        <v>1356</v>
      </c>
      <c r="H186" s="17" t="s">
        <v>1357</v>
      </c>
      <c r="I186" s="17" t="s">
        <v>96</v>
      </c>
      <c r="J186" s="17" t="s">
        <v>97</v>
      </c>
      <c r="K186" s="17" t="s">
        <v>296</v>
      </c>
      <c r="L186" s="17" t="s">
        <v>1344</v>
      </c>
      <c r="M186" s="17" t="s">
        <v>1345</v>
      </c>
      <c r="N186" s="17" t="s">
        <v>1358</v>
      </c>
      <c r="O186" s="17" t="s">
        <v>117</v>
      </c>
      <c r="P186" s="17">
        <v>1</v>
      </c>
      <c r="Q186" s="18">
        <v>46401.75</v>
      </c>
      <c r="R186" s="18">
        <v>46405.75</v>
      </c>
      <c r="S186" s="17">
        <f>NETWORKDAYS(Q186,R186)</f>
        <v>3</v>
      </c>
      <c r="T186" s="18" t="s">
        <v>37</v>
      </c>
      <c r="U186" s="18" t="s">
        <v>37</v>
      </c>
      <c r="V186" s="17" t="s">
        <v>102</v>
      </c>
      <c r="W186" s="19">
        <v>0</v>
      </c>
      <c r="X186" s="17" t="str">
        <f>IF(OR(V186="Completada",V186="No aplica"),"VERDE",IF(V186="Bloqueada","ROJO",IF(R186&lt;TODAY(),"ROJO",IF(AND(R186-TODAY()&lt;=7,W186&lt;1),"AMARILLO","GRIS"))))</f>
        <v>GRIS</v>
      </c>
      <c r="Y186" s="17" t="s">
        <v>37</v>
      </c>
    </row>
    <row r="187" ht="46" customHeight="1" spans="1:25" x14ac:dyDescent="0.25">
      <c r="A187" s="20" t="s">
        <v>1359</v>
      </c>
      <c r="B187" s="20" t="s">
        <v>779</v>
      </c>
      <c r="C187" s="20" t="s">
        <v>54</v>
      </c>
      <c r="D187" s="20" t="s">
        <v>1360</v>
      </c>
      <c r="E187" s="20" t="s">
        <v>1361</v>
      </c>
      <c r="F187" s="20" t="s">
        <v>1362</v>
      </c>
      <c r="G187" s="20" t="s">
        <v>1363</v>
      </c>
      <c r="H187" s="20" t="s">
        <v>1364</v>
      </c>
      <c r="I187" s="20" t="s">
        <v>96</v>
      </c>
      <c r="J187" s="20" t="s">
        <v>97</v>
      </c>
      <c r="K187" s="20" t="s">
        <v>296</v>
      </c>
      <c r="L187" s="20" t="s">
        <v>1344</v>
      </c>
      <c r="M187" s="20" t="s">
        <v>1352</v>
      </c>
      <c r="N187" s="20" t="s">
        <v>1365</v>
      </c>
      <c r="O187" s="20" t="s">
        <v>117</v>
      </c>
      <c r="P187" s="20">
        <v>1</v>
      </c>
      <c r="Q187" s="21">
        <v>46406.75</v>
      </c>
      <c r="R187" s="21">
        <v>46409.75</v>
      </c>
      <c r="S187" s="20">
        <f>NETWORKDAYS(Q187,R187)</f>
        <v>4</v>
      </c>
      <c r="T187" s="21" t="s">
        <v>37</v>
      </c>
      <c r="U187" s="21" t="s">
        <v>37</v>
      </c>
      <c r="V187" s="20" t="s">
        <v>102</v>
      </c>
      <c r="W187" s="22">
        <v>0</v>
      </c>
      <c r="X187" s="20" t="str">
        <f>IF(OR(V187="Completada",V187="No aplica"),"VERDE",IF(V187="Bloqueada","ROJO",IF(R187&lt;TODAY(),"ROJO",IF(AND(R187-TODAY()&lt;=7,W187&lt;1),"AMARILLO","GRIS"))))</f>
        <v>GRIS</v>
      </c>
      <c r="Y187" s="20" t="s">
        <v>37</v>
      </c>
    </row>
    <row r="188" ht="46" customHeight="1" spans="1:25" x14ac:dyDescent="0.25">
      <c r="A188" s="17" t="s">
        <v>1366</v>
      </c>
      <c r="B188" s="17" t="s">
        <v>779</v>
      </c>
      <c r="C188" s="17" t="s">
        <v>54</v>
      </c>
      <c r="D188" s="17" t="s">
        <v>1367</v>
      </c>
      <c r="E188" s="17" t="s">
        <v>1368</v>
      </c>
      <c r="F188" s="17" t="s">
        <v>1369</v>
      </c>
      <c r="G188" s="17" t="s">
        <v>1370</v>
      </c>
      <c r="H188" s="17" t="s">
        <v>1371</v>
      </c>
      <c r="I188" s="17" t="s">
        <v>96</v>
      </c>
      <c r="J188" s="17" t="s">
        <v>97</v>
      </c>
      <c r="K188" s="17" t="s">
        <v>296</v>
      </c>
      <c r="L188" s="17" t="s">
        <v>1344</v>
      </c>
      <c r="M188" s="17" t="s">
        <v>1359</v>
      </c>
      <c r="N188" s="17" t="s">
        <v>1372</v>
      </c>
      <c r="O188" s="17" t="s">
        <v>117</v>
      </c>
      <c r="P188" s="17">
        <v>1</v>
      </c>
      <c r="Q188" s="18">
        <v>46412.75</v>
      </c>
      <c r="R188" s="18">
        <v>46414.75</v>
      </c>
      <c r="S188" s="17">
        <f>NETWORKDAYS(Q188,R188)</f>
        <v>3</v>
      </c>
      <c r="T188" s="18" t="s">
        <v>37</v>
      </c>
      <c r="U188" s="18" t="s">
        <v>37</v>
      </c>
      <c r="V188" s="17" t="s">
        <v>102</v>
      </c>
      <c r="W188" s="19">
        <v>0</v>
      </c>
      <c r="X188" s="17" t="str">
        <f>IF(OR(V188="Completada",V188="No aplica"),"VERDE",IF(V188="Bloqueada","ROJO",IF(R188&lt;TODAY(),"ROJO",IF(AND(R188-TODAY()&lt;=7,W188&lt;1),"AMARILLO","GRIS"))))</f>
        <v>GRIS</v>
      </c>
      <c r="Y188" s="17" t="s">
        <v>37</v>
      </c>
    </row>
    <row r="189" ht="46" customHeight="1" spans="1:25" x14ac:dyDescent="0.25">
      <c r="A189" s="20" t="s">
        <v>1373</v>
      </c>
      <c r="B189" s="20" t="s">
        <v>779</v>
      </c>
      <c r="C189" s="20" t="s">
        <v>54</v>
      </c>
      <c r="D189" s="20" t="s">
        <v>1374</v>
      </c>
      <c r="E189" s="20" t="s">
        <v>1375</v>
      </c>
      <c r="F189" s="20" t="s">
        <v>1376</v>
      </c>
      <c r="G189" s="20" t="s">
        <v>1377</v>
      </c>
      <c r="H189" s="20" t="s">
        <v>1378</v>
      </c>
      <c r="I189" s="20" t="s">
        <v>96</v>
      </c>
      <c r="J189" s="20" t="s">
        <v>97</v>
      </c>
      <c r="K189" s="20" t="s">
        <v>296</v>
      </c>
      <c r="L189" s="20" t="s">
        <v>1344</v>
      </c>
      <c r="M189" s="20" t="s">
        <v>1366</v>
      </c>
      <c r="N189" s="20" t="s">
        <v>1379</v>
      </c>
      <c r="O189" s="20" t="s">
        <v>117</v>
      </c>
      <c r="P189" s="20">
        <v>1</v>
      </c>
      <c r="Q189" s="21">
        <v>46415.75</v>
      </c>
      <c r="R189" s="21">
        <v>46419.75</v>
      </c>
      <c r="S189" s="20">
        <f>NETWORKDAYS(Q189,R189)</f>
        <v>3</v>
      </c>
      <c r="T189" s="21" t="s">
        <v>37</v>
      </c>
      <c r="U189" s="21" t="s">
        <v>37</v>
      </c>
      <c r="V189" s="20" t="s">
        <v>102</v>
      </c>
      <c r="W189" s="22">
        <v>0</v>
      </c>
      <c r="X189" s="20" t="str">
        <f>IF(OR(V189="Completada",V189="No aplica"),"VERDE",IF(V189="Bloqueada","ROJO",IF(R189&lt;TODAY(),"ROJO",IF(AND(R189-TODAY()&lt;=7,W189&lt;1),"AMARILLO","GRIS"))))</f>
        <v>GRIS</v>
      </c>
      <c r="Y189" s="20" t="s">
        <v>37</v>
      </c>
    </row>
    <row r="190" ht="46" customHeight="1" spans="1:25" x14ac:dyDescent="0.25">
      <c r="A190" s="17" t="s">
        <v>1380</v>
      </c>
      <c r="B190" s="17" t="s">
        <v>779</v>
      </c>
      <c r="C190" s="17" t="s">
        <v>54</v>
      </c>
      <c r="D190" s="17" t="s">
        <v>1381</v>
      </c>
      <c r="E190" s="17" t="s">
        <v>1382</v>
      </c>
      <c r="F190" s="17" t="s">
        <v>1383</v>
      </c>
      <c r="G190" s="17" t="s">
        <v>1384</v>
      </c>
      <c r="H190" s="17" t="s">
        <v>1385</v>
      </c>
      <c r="I190" s="17" t="s">
        <v>96</v>
      </c>
      <c r="J190" s="17" t="s">
        <v>97</v>
      </c>
      <c r="K190" s="17" t="s">
        <v>296</v>
      </c>
      <c r="L190" s="17" t="s">
        <v>1344</v>
      </c>
      <c r="M190" s="17" t="s">
        <v>1373</v>
      </c>
      <c r="N190" s="17" t="s">
        <v>1386</v>
      </c>
      <c r="O190" s="17" t="s">
        <v>117</v>
      </c>
      <c r="P190" s="17">
        <v>1</v>
      </c>
      <c r="Q190" s="18">
        <v>46420.75</v>
      </c>
      <c r="R190" s="18">
        <v>46423.75</v>
      </c>
      <c r="S190" s="17">
        <f>NETWORKDAYS(Q190,R190)</f>
        <v>4</v>
      </c>
      <c r="T190" s="18" t="s">
        <v>37</v>
      </c>
      <c r="U190" s="18" t="s">
        <v>37</v>
      </c>
      <c r="V190" s="17" t="s">
        <v>102</v>
      </c>
      <c r="W190" s="19">
        <v>0</v>
      </c>
      <c r="X190" s="17" t="str">
        <f>IF(OR(V190="Completada",V190="No aplica"),"VERDE",IF(V190="Bloqueada","ROJO",IF(R190&lt;TODAY(),"ROJO",IF(AND(R190-TODAY()&lt;=7,W190&lt;1),"AMARILLO","GRIS"))))</f>
        <v>GRIS</v>
      </c>
      <c r="Y190" s="17" t="s">
        <v>37</v>
      </c>
    </row>
    <row r="191" ht="46" customHeight="1" spans="1:25" x14ac:dyDescent="0.25">
      <c r="A191" s="20" t="s">
        <v>1387</v>
      </c>
      <c r="B191" s="20" t="s">
        <v>779</v>
      </c>
      <c r="C191" s="20" t="s">
        <v>54</v>
      </c>
      <c r="D191" s="20" t="s">
        <v>1388</v>
      </c>
      <c r="E191" s="20" t="s">
        <v>1389</v>
      </c>
      <c r="F191" s="20" t="s">
        <v>1390</v>
      </c>
      <c r="G191" s="20" t="s">
        <v>1391</v>
      </c>
      <c r="H191" s="20" t="s">
        <v>1392</v>
      </c>
      <c r="I191" s="20" t="s">
        <v>96</v>
      </c>
      <c r="J191" s="20" t="s">
        <v>97</v>
      </c>
      <c r="K191" s="20" t="s">
        <v>296</v>
      </c>
      <c r="L191" s="20" t="s">
        <v>1344</v>
      </c>
      <c r="M191" s="20" t="s">
        <v>1380</v>
      </c>
      <c r="N191" s="20" t="s">
        <v>1393</v>
      </c>
      <c r="O191" s="20" t="s">
        <v>117</v>
      </c>
      <c r="P191" s="20">
        <v>1</v>
      </c>
      <c r="Q191" s="21">
        <v>46426.75</v>
      </c>
      <c r="R191" s="21">
        <v>46428.75</v>
      </c>
      <c r="S191" s="20">
        <f>NETWORKDAYS(Q191,R191)</f>
        <v>3</v>
      </c>
      <c r="T191" s="21" t="s">
        <v>37</v>
      </c>
      <c r="U191" s="21" t="s">
        <v>37</v>
      </c>
      <c r="V191" s="20" t="s">
        <v>102</v>
      </c>
      <c r="W191" s="22">
        <v>0</v>
      </c>
      <c r="X191" s="20" t="str">
        <f>IF(OR(V191="Completada",V191="No aplica"),"VERDE",IF(V191="Bloqueada","ROJO",IF(R191&lt;TODAY(),"ROJO",IF(AND(R191-TODAY()&lt;=7,W191&lt;1),"AMARILLO","GRIS"))))</f>
        <v>GRIS</v>
      </c>
      <c r="Y191" s="20" t="s">
        <v>37</v>
      </c>
    </row>
    <row r="192" ht="46" customHeight="1" spans="1:25" x14ac:dyDescent="0.25">
      <c r="A192" s="17" t="s">
        <v>1394</v>
      </c>
      <c r="B192" s="17" t="s">
        <v>779</v>
      </c>
      <c r="C192" s="17" t="s">
        <v>54</v>
      </c>
      <c r="D192" s="17" t="s">
        <v>1395</v>
      </c>
      <c r="E192" s="17" t="s">
        <v>1396</v>
      </c>
      <c r="F192" s="17" t="s">
        <v>1397</v>
      </c>
      <c r="G192" s="17" t="s">
        <v>1398</v>
      </c>
      <c r="H192" s="17" t="s">
        <v>1399</v>
      </c>
      <c r="I192" s="17" t="s">
        <v>96</v>
      </c>
      <c r="J192" s="17" t="s">
        <v>97</v>
      </c>
      <c r="K192" s="17" t="s">
        <v>296</v>
      </c>
      <c r="L192" s="17" t="s">
        <v>1344</v>
      </c>
      <c r="M192" s="17" t="s">
        <v>1387</v>
      </c>
      <c r="N192" s="17" t="s">
        <v>1400</v>
      </c>
      <c r="O192" s="17" t="s">
        <v>117</v>
      </c>
      <c r="P192" s="17">
        <v>1</v>
      </c>
      <c r="Q192" s="18">
        <v>46429.75</v>
      </c>
      <c r="R192" s="18">
        <v>46433.75</v>
      </c>
      <c r="S192" s="17">
        <f>NETWORKDAYS(Q192,R192)</f>
        <v>3</v>
      </c>
      <c r="T192" s="18" t="s">
        <v>37</v>
      </c>
      <c r="U192" s="18" t="s">
        <v>37</v>
      </c>
      <c r="V192" s="17" t="s">
        <v>102</v>
      </c>
      <c r="W192" s="19">
        <v>0</v>
      </c>
      <c r="X192" s="17" t="str">
        <f>IF(OR(V192="Completada",V192="No aplica"),"VERDE",IF(V192="Bloqueada","ROJO",IF(R192&lt;TODAY(),"ROJO",IF(AND(R192-TODAY()&lt;=7,W192&lt;1),"AMARILLO","GRIS"))))</f>
        <v>GRIS</v>
      </c>
      <c r="Y192" s="17" t="s">
        <v>37</v>
      </c>
    </row>
    <row r="193" ht="46" customHeight="1" spans="1:25" x14ac:dyDescent="0.25">
      <c r="A193" s="20" t="s">
        <v>1401</v>
      </c>
      <c r="B193" s="20" t="s">
        <v>779</v>
      </c>
      <c r="C193" s="20" t="s">
        <v>54</v>
      </c>
      <c r="D193" s="20" t="s">
        <v>1402</v>
      </c>
      <c r="E193" s="20" t="s">
        <v>1403</v>
      </c>
      <c r="F193" s="20" t="s">
        <v>1404</v>
      </c>
      <c r="G193" s="20" t="s">
        <v>1405</v>
      </c>
      <c r="H193" s="20" t="s">
        <v>1406</v>
      </c>
      <c r="I193" s="20" t="s">
        <v>96</v>
      </c>
      <c r="J193" s="20" t="s">
        <v>97</v>
      </c>
      <c r="K193" s="20" t="s">
        <v>296</v>
      </c>
      <c r="L193" s="20" t="s">
        <v>1344</v>
      </c>
      <c r="M193" s="20" t="s">
        <v>1394</v>
      </c>
      <c r="N193" s="20" t="s">
        <v>1407</v>
      </c>
      <c r="O193" s="20" t="s">
        <v>117</v>
      </c>
      <c r="P193" s="20">
        <v>1</v>
      </c>
      <c r="Q193" s="21">
        <v>46434.75</v>
      </c>
      <c r="R193" s="21">
        <v>46437.75</v>
      </c>
      <c r="S193" s="20">
        <f>NETWORKDAYS(Q193,R193)</f>
        <v>4</v>
      </c>
      <c r="T193" s="21" t="s">
        <v>37</v>
      </c>
      <c r="U193" s="21" t="s">
        <v>37</v>
      </c>
      <c r="V193" s="20" t="s">
        <v>102</v>
      </c>
      <c r="W193" s="22">
        <v>0</v>
      </c>
      <c r="X193" s="20" t="str">
        <f>IF(OR(V193="Completada",V193="No aplica"),"VERDE",IF(V193="Bloqueada","ROJO",IF(R193&lt;TODAY(),"ROJO",IF(AND(R193-TODAY()&lt;=7,W193&lt;1),"AMARILLO","GRIS"))))</f>
        <v>GRIS</v>
      </c>
      <c r="Y193" s="20" t="s">
        <v>37</v>
      </c>
    </row>
    <row r="194" ht="46" customHeight="1" spans="1:25" x14ac:dyDescent="0.25">
      <c r="A194" s="17" t="s">
        <v>1408</v>
      </c>
      <c r="B194" s="17" t="s">
        <v>779</v>
      </c>
      <c r="C194" s="17" t="s">
        <v>54</v>
      </c>
      <c r="D194" s="17" t="s">
        <v>1409</v>
      </c>
      <c r="E194" s="17" t="s">
        <v>1410</v>
      </c>
      <c r="F194" s="17" t="s">
        <v>1411</v>
      </c>
      <c r="G194" s="17" t="s">
        <v>1412</v>
      </c>
      <c r="H194" s="17" t="s">
        <v>1413</v>
      </c>
      <c r="I194" s="17" t="s">
        <v>96</v>
      </c>
      <c r="J194" s="17" t="s">
        <v>97</v>
      </c>
      <c r="K194" s="17" t="s">
        <v>296</v>
      </c>
      <c r="L194" s="17" t="s">
        <v>1344</v>
      </c>
      <c r="M194" s="17" t="s">
        <v>1401</v>
      </c>
      <c r="N194" s="17" t="s">
        <v>1414</v>
      </c>
      <c r="O194" s="17" t="s">
        <v>117</v>
      </c>
      <c r="P194" s="17">
        <v>1</v>
      </c>
      <c r="Q194" s="18">
        <v>46440.75</v>
      </c>
      <c r="R194" s="18">
        <v>46442.75</v>
      </c>
      <c r="S194" s="17">
        <f>NETWORKDAYS(Q194,R194)</f>
        <v>3</v>
      </c>
      <c r="T194" s="18" t="s">
        <v>37</v>
      </c>
      <c r="U194" s="18" t="s">
        <v>37</v>
      </c>
      <c r="V194" s="17" t="s">
        <v>102</v>
      </c>
      <c r="W194" s="19">
        <v>0</v>
      </c>
      <c r="X194" s="17" t="str">
        <f>IF(OR(V194="Completada",V194="No aplica"),"VERDE",IF(V194="Bloqueada","ROJO",IF(R194&lt;TODAY(),"ROJO",IF(AND(R194-TODAY()&lt;=7,W194&lt;1),"AMARILLO","GRIS"))))</f>
        <v>GRIS</v>
      </c>
      <c r="Y194" s="17" t="s">
        <v>37</v>
      </c>
    </row>
    <row r="195" ht="46" customHeight="1" spans="1:25" x14ac:dyDescent="0.25">
      <c r="A195" s="20" t="s">
        <v>1415</v>
      </c>
      <c r="B195" s="20" t="s">
        <v>779</v>
      </c>
      <c r="C195" s="20" t="s">
        <v>54</v>
      </c>
      <c r="D195" s="20" t="s">
        <v>1416</v>
      </c>
      <c r="E195" s="20" t="s">
        <v>1417</v>
      </c>
      <c r="F195" s="20" t="s">
        <v>1418</v>
      </c>
      <c r="G195" s="20" t="s">
        <v>1419</v>
      </c>
      <c r="H195" s="20" t="s">
        <v>1420</v>
      </c>
      <c r="I195" s="20" t="s">
        <v>96</v>
      </c>
      <c r="J195" s="20" t="s">
        <v>97</v>
      </c>
      <c r="K195" s="20" t="s">
        <v>296</v>
      </c>
      <c r="L195" s="20" t="s">
        <v>1344</v>
      </c>
      <c r="M195" s="20" t="s">
        <v>1408</v>
      </c>
      <c r="N195" s="20" t="s">
        <v>1421</v>
      </c>
      <c r="O195" s="20" t="s">
        <v>117</v>
      </c>
      <c r="P195" s="20">
        <v>1</v>
      </c>
      <c r="Q195" s="21">
        <v>46443.75</v>
      </c>
      <c r="R195" s="21">
        <v>46447.75</v>
      </c>
      <c r="S195" s="20">
        <f>NETWORKDAYS(Q195,R195)</f>
        <v>3</v>
      </c>
      <c r="T195" s="21" t="s">
        <v>37</v>
      </c>
      <c r="U195" s="21" t="s">
        <v>37</v>
      </c>
      <c r="V195" s="20" t="s">
        <v>102</v>
      </c>
      <c r="W195" s="22">
        <v>0</v>
      </c>
      <c r="X195" s="20" t="str">
        <f>IF(OR(V195="Completada",V195="No aplica"),"VERDE",IF(V195="Bloqueada","ROJO",IF(R195&lt;TODAY(),"ROJO",IF(AND(R195-TODAY()&lt;=7,W195&lt;1),"AMARILLO","GRIS"))))</f>
        <v>GRIS</v>
      </c>
      <c r="Y195" s="20" t="s">
        <v>37</v>
      </c>
    </row>
    <row r="196" ht="46" customHeight="1" spans="1:25" x14ac:dyDescent="0.25">
      <c r="A196" s="17" t="s">
        <v>1422</v>
      </c>
      <c r="B196" s="17" t="s">
        <v>779</v>
      </c>
      <c r="C196" s="17" t="s">
        <v>55</v>
      </c>
      <c r="D196" s="17" t="s">
        <v>1423</v>
      </c>
      <c r="E196" s="17" t="s">
        <v>1424</v>
      </c>
      <c r="F196" s="17" t="s">
        <v>1425</v>
      </c>
      <c r="G196" s="17" t="s">
        <v>1426</v>
      </c>
      <c r="H196" s="17" t="s">
        <v>1427</v>
      </c>
      <c r="I196" s="17" t="s">
        <v>96</v>
      </c>
      <c r="J196" s="17" t="s">
        <v>97</v>
      </c>
      <c r="K196" s="17" t="s">
        <v>1428</v>
      </c>
      <c r="L196" s="17" t="s">
        <v>1429</v>
      </c>
      <c r="M196" s="17" t="s">
        <v>37</v>
      </c>
      <c r="N196" s="17" t="s">
        <v>100</v>
      </c>
      <c r="O196" s="17" t="s">
        <v>101</v>
      </c>
      <c r="P196" s="17">
        <v>2</v>
      </c>
      <c r="Q196" s="18">
        <v>46393.75</v>
      </c>
      <c r="R196" s="18">
        <v>46398.75</v>
      </c>
      <c r="S196" s="17">
        <f>NETWORKDAYS(Q196,R196)</f>
        <v>4</v>
      </c>
      <c r="T196" s="18" t="s">
        <v>37</v>
      </c>
      <c r="U196" s="18" t="s">
        <v>37</v>
      </c>
      <c r="V196" s="17" t="s">
        <v>102</v>
      </c>
      <c r="W196" s="19">
        <v>0</v>
      </c>
      <c r="X196" s="17" t="str">
        <f>IF(OR(V196="Completada",V196="No aplica"),"VERDE",IF(V196="Bloqueada","ROJO",IF(R196&lt;TODAY(),"ROJO",IF(AND(R196-TODAY()&lt;=7,W196&lt;1),"AMARILLO","GRIS"))))</f>
        <v>GRIS</v>
      </c>
      <c r="Y196" s="17" t="s">
        <v>37</v>
      </c>
    </row>
    <row r="197" ht="46" customHeight="1" spans="1:25" x14ac:dyDescent="0.25">
      <c r="A197" s="20" t="s">
        <v>1430</v>
      </c>
      <c r="B197" s="20" t="s">
        <v>779</v>
      </c>
      <c r="C197" s="20" t="s">
        <v>55</v>
      </c>
      <c r="D197" s="20" t="s">
        <v>1431</v>
      </c>
      <c r="E197" s="20" t="s">
        <v>1432</v>
      </c>
      <c r="F197" s="20" t="s">
        <v>1433</v>
      </c>
      <c r="G197" s="20" t="s">
        <v>1434</v>
      </c>
      <c r="H197" s="20" t="s">
        <v>1435</v>
      </c>
      <c r="I197" s="20" t="s">
        <v>96</v>
      </c>
      <c r="J197" s="20" t="s">
        <v>97</v>
      </c>
      <c r="K197" s="20" t="s">
        <v>1428</v>
      </c>
      <c r="L197" s="20" t="s">
        <v>1429</v>
      </c>
      <c r="M197" s="20" t="s">
        <v>1422</v>
      </c>
      <c r="N197" s="20" t="s">
        <v>1436</v>
      </c>
      <c r="O197" s="20" t="s">
        <v>101</v>
      </c>
      <c r="P197" s="20">
        <v>2</v>
      </c>
      <c r="Q197" s="21">
        <v>46399.75</v>
      </c>
      <c r="R197" s="21">
        <v>46401.75</v>
      </c>
      <c r="S197" s="20">
        <f>NETWORKDAYS(Q197,R197)</f>
        <v>3</v>
      </c>
      <c r="T197" s="21" t="s">
        <v>37</v>
      </c>
      <c r="U197" s="21" t="s">
        <v>37</v>
      </c>
      <c r="V197" s="20" t="s">
        <v>102</v>
      </c>
      <c r="W197" s="22">
        <v>0</v>
      </c>
      <c r="X197" s="20" t="str">
        <f>IF(OR(V197="Completada",V197="No aplica"),"VERDE",IF(V197="Bloqueada","ROJO",IF(R197&lt;TODAY(),"ROJO",IF(AND(R197-TODAY()&lt;=7,W197&lt;1),"AMARILLO","GRIS"))))</f>
        <v>GRIS</v>
      </c>
      <c r="Y197" s="20" t="s">
        <v>37</v>
      </c>
    </row>
    <row r="198" ht="46" customHeight="1" spans="1:25" x14ac:dyDescent="0.25">
      <c r="A198" s="17" t="s">
        <v>1437</v>
      </c>
      <c r="B198" s="17" t="s">
        <v>779</v>
      </c>
      <c r="C198" s="17" t="s">
        <v>55</v>
      </c>
      <c r="D198" s="17" t="s">
        <v>1438</v>
      </c>
      <c r="E198" s="17" t="s">
        <v>1439</v>
      </c>
      <c r="F198" s="17" t="s">
        <v>1440</v>
      </c>
      <c r="G198" s="17" t="s">
        <v>1441</v>
      </c>
      <c r="H198" s="17" t="s">
        <v>1442</v>
      </c>
      <c r="I198" s="17" t="s">
        <v>96</v>
      </c>
      <c r="J198" s="17" t="s">
        <v>97</v>
      </c>
      <c r="K198" s="17" t="s">
        <v>1428</v>
      </c>
      <c r="L198" s="17" t="s">
        <v>1429</v>
      </c>
      <c r="M198" s="17" t="s">
        <v>1430</v>
      </c>
      <c r="N198" s="17" t="s">
        <v>1443</v>
      </c>
      <c r="O198" s="17" t="s">
        <v>117</v>
      </c>
      <c r="P198" s="17">
        <v>1</v>
      </c>
      <c r="Q198" s="18">
        <v>46402.75</v>
      </c>
      <c r="R198" s="18">
        <v>46406.75</v>
      </c>
      <c r="S198" s="17">
        <f>NETWORKDAYS(Q198,R198)</f>
        <v>3</v>
      </c>
      <c r="T198" s="18" t="s">
        <v>37</v>
      </c>
      <c r="U198" s="18" t="s">
        <v>37</v>
      </c>
      <c r="V198" s="17" t="s">
        <v>102</v>
      </c>
      <c r="W198" s="19">
        <v>0</v>
      </c>
      <c r="X198" s="17" t="str">
        <f>IF(OR(V198="Completada",V198="No aplica"),"VERDE",IF(V198="Bloqueada","ROJO",IF(R198&lt;TODAY(),"ROJO",IF(AND(R198-TODAY()&lt;=7,W198&lt;1),"AMARILLO","GRIS"))))</f>
        <v>GRIS</v>
      </c>
      <c r="Y198" s="17" t="s">
        <v>37</v>
      </c>
    </row>
    <row r="199" ht="46" customHeight="1" spans="1:25" x14ac:dyDescent="0.25">
      <c r="A199" s="20" t="s">
        <v>1444</v>
      </c>
      <c r="B199" s="20" t="s">
        <v>779</v>
      </c>
      <c r="C199" s="20" t="s">
        <v>55</v>
      </c>
      <c r="D199" s="20" t="s">
        <v>1445</v>
      </c>
      <c r="E199" s="20" t="s">
        <v>1446</v>
      </c>
      <c r="F199" s="20" t="s">
        <v>1447</v>
      </c>
      <c r="G199" s="20" t="s">
        <v>1448</v>
      </c>
      <c r="H199" s="20" t="s">
        <v>1449</v>
      </c>
      <c r="I199" s="20" t="s">
        <v>96</v>
      </c>
      <c r="J199" s="20" t="s">
        <v>97</v>
      </c>
      <c r="K199" s="20" t="s">
        <v>1428</v>
      </c>
      <c r="L199" s="20" t="s">
        <v>1429</v>
      </c>
      <c r="M199" s="20" t="s">
        <v>1437</v>
      </c>
      <c r="N199" s="20" t="s">
        <v>1450</v>
      </c>
      <c r="O199" s="20" t="s">
        <v>117</v>
      </c>
      <c r="P199" s="20">
        <v>1</v>
      </c>
      <c r="Q199" s="21">
        <v>46407.75</v>
      </c>
      <c r="R199" s="21">
        <v>46412.75</v>
      </c>
      <c r="S199" s="20">
        <f>NETWORKDAYS(Q199,R199)</f>
        <v>4</v>
      </c>
      <c r="T199" s="21" t="s">
        <v>37</v>
      </c>
      <c r="U199" s="21" t="s">
        <v>37</v>
      </c>
      <c r="V199" s="20" t="s">
        <v>102</v>
      </c>
      <c r="W199" s="22">
        <v>0</v>
      </c>
      <c r="X199" s="20" t="str">
        <f>IF(OR(V199="Completada",V199="No aplica"),"VERDE",IF(V199="Bloqueada","ROJO",IF(R199&lt;TODAY(),"ROJO",IF(AND(R199-TODAY()&lt;=7,W199&lt;1),"AMARILLO","GRIS"))))</f>
        <v>GRIS</v>
      </c>
      <c r="Y199" s="20" t="s">
        <v>37</v>
      </c>
    </row>
    <row r="200" ht="46" customHeight="1" spans="1:25" x14ac:dyDescent="0.25">
      <c r="A200" s="17" t="s">
        <v>1451</v>
      </c>
      <c r="B200" s="17" t="s">
        <v>779</v>
      </c>
      <c r="C200" s="17" t="s">
        <v>55</v>
      </c>
      <c r="D200" s="17" t="s">
        <v>1452</v>
      </c>
      <c r="E200" s="17" t="s">
        <v>1453</v>
      </c>
      <c r="F200" s="17" t="s">
        <v>1454</v>
      </c>
      <c r="G200" s="17" t="s">
        <v>1455</v>
      </c>
      <c r="H200" s="17" t="s">
        <v>1456</v>
      </c>
      <c r="I200" s="17" t="s">
        <v>96</v>
      </c>
      <c r="J200" s="17" t="s">
        <v>97</v>
      </c>
      <c r="K200" s="17" t="s">
        <v>1428</v>
      </c>
      <c r="L200" s="17" t="s">
        <v>1429</v>
      </c>
      <c r="M200" s="17" t="s">
        <v>1444</v>
      </c>
      <c r="N200" s="17" t="s">
        <v>1457</v>
      </c>
      <c r="O200" s="17" t="s">
        <v>117</v>
      </c>
      <c r="P200" s="17">
        <v>1</v>
      </c>
      <c r="Q200" s="18">
        <v>46413.75</v>
      </c>
      <c r="R200" s="18">
        <v>46415.75</v>
      </c>
      <c r="S200" s="17">
        <f>NETWORKDAYS(Q200,R200)</f>
        <v>3</v>
      </c>
      <c r="T200" s="18" t="s">
        <v>37</v>
      </c>
      <c r="U200" s="18" t="s">
        <v>37</v>
      </c>
      <c r="V200" s="17" t="s">
        <v>102</v>
      </c>
      <c r="W200" s="19">
        <v>0</v>
      </c>
      <c r="X200" s="17" t="str">
        <f>IF(OR(V200="Completada",V200="No aplica"),"VERDE",IF(V200="Bloqueada","ROJO",IF(R200&lt;TODAY(),"ROJO",IF(AND(R200-TODAY()&lt;=7,W200&lt;1),"AMARILLO","GRIS"))))</f>
        <v>GRIS</v>
      </c>
      <c r="Y200" s="17" t="s">
        <v>37</v>
      </c>
    </row>
    <row r="201" ht="46" customHeight="1" spans="1:25" x14ac:dyDescent="0.25">
      <c r="A201" s="20" t="s">
        <v>1458</v>
      </c>
      <c r="B201" s="20" t="s">
        <v>779</v>
      </c>
      <c r="C201" s="20" t="s">
        <v>55</v>
      </c>
      <c r="D201" s="20" t="s">
        <v>1459</v>
      </c>
      <c r="E201" s="20" t="s">
        <v>1460</v>
      </c>
      <c r="F201" s="20" t="s">
        <v>1461</v>
      </c>
      <c r="G201" s="20" t="s">
        <v>1462</v>
      </c>
      <c r="H201" s="20" t="s">
        <v>1463</v>
      </c>
      <c r="I201" s="20" t="s">
        <v>96</v>
      </c>
      <c r="J201" s="20" t="s">
        <v>97</v>
      </c>
      <c r="K201" s="20" t="s">
        <v>1428</v>
      </c>
      <c r="L201" s="20" t="s">
        <v>1429</v>
      </c>
      <c r="M201" s="20" t="s">
        <v>1451</v>
      </c>
      <c r="N201" s="20" t="s">
        <v>1464</v>
      </c>
      <c r="O201" s="20" t="s">
        <v>117</v>
      </c>
      <c r="P201" s="20">
        <v>1</v>
      </c>
      <c r="Q201" s="21">
        <v>46416.75</v>
      </c>
      <c r="R201" s="21">
        <v>46420.75</v>
      </c>
      <c r="S201" s="20">
        <f>NETWORKDAYS(Q201,R201)</f>
        <v>3</v>
      </c>
      <c r="T201" s="21" t="s">
        <v>37</v>
      </c>
      <c r="U201" s="21" t="s">
        <v>37</v>
      </c>
      <c r="V201" s="20" t="s">
        <v>102</v>
      </c>
      <c r="W201" s="22">
        <v>0</v>
      </c>
      <c r="X201" s="20" t="str">
        <f>IF(OR(V201="Completada",V201="No aplica"),"VERDE",IF(V201="Bloqueada","ROJO",IF(R201&lt;TODAY(),"ROJO",IF(AND(R201-TODAY()&lt;=7,W201&lt;1),"AMARILLO","GRIS"))))</f>
        <v>GRIS</v>
      </c>
      <c r="Y201" s="20" t="s">
        <v>37</v>
      </c>
    </row>
    <row r="202" ht="46" customHeight="1" spans="1:25" x14ac:dyDescent="0.25">
      <c r="A202" s="17" t="s">
        <v>1465</v>
      </c>
      <c r="B202" s="17" t="s">
        <v>779</v>
      </c>
      <c r="C202" s="17" t="s">
        <v>55</v>
      </c>
      <c r="D202" s="17" t="s">
        <v>1466</v>
      </c>
      <c r="E202" s="17" t="s">
        <v>1467</v>
      </c>
      <c r="F202" s="17" t="s">
        <v>1468</v>
      </c>
      <c r="G202" s="17" t="s">
        <v>1469</v>
      </c>
      <c r="H202" s="17" t="s">
        <v>1470</v>
      </c>
      <c r="I202" s="17" t="s">
        <v>96</v>
      </c>
      <c r="J202" s="17" t="s">
        <v>97</v>
      </c>
      <c r="K202" s="17" t="s">
        <v>1428</v>
      </c>
      <c r="L202" s="17" t="s">
        <v>1429</v>
      </c>
      <c r="M202" s="17" t="s">
        <v>1458</v>
      </c>
      <c r="N202" s="17" t="s">
        <v>1471</v>
      </c>
      <c r="O202" s="17" t="s">
        <v>117</v>
      </c>
      <c r="P202" s="17">
        <v>1</v>
      </c>
      <c r="Q202" s="18">
        <v>46421.75</v>
      </c>
      <c r="R202" s="18">
        <v>46426.75</v>
      </c>
      <c r="S202" s="17">
        <f>NETWORKDAYS(Q202,R202)</f>
        <v>4</v>
      </c>
      <c r="T202" s="18" t="s">
        <v>37</v>
      </c>
      <c r="U202" s="18" t="s">
        <v>37</v>
      </c>
      <c r="V202" s="17" t="s">
        <v>102</v>
      </c>
      <c r="W202" s="19">
        <v>0</v>
      </c>
      <c r="X202" s="17" t="str">
        <f>IF(OR(V202="Completada",V202="No aplica"),"VERDE",IF(V202="Bloqueada","ROJO",IF(R202&lt;TODAY(),"ROJO",IF(AND(R202-TODAY()&lt;=7,W202&lt;1),"AMARILLO","GRIS"))))</f>
        <v>GRIS</v>
      </c>
      <c r="Y202" s="17" t="s">
        <v>37</v>
      </c>
    </row>
    <row r="203" ht="46" customHeight="1" spans="1:25" x14ac:dyDescent="0.25">
      <c r="A203" s="20" t="s">
        <v>1472</v>
      </c>
      <c r="B203" s="20" t="s">
        <v>779</v>
      </c>
      <c r="C203" s="20" t="s">
        <v>55</v>
      </c>
      <c r="D203" s="20" t="s">
        <v>1473</v>
      </c>
      <c r="E203" s="20" t="s">
        <v>1474</v>
      </c>
      <c r="F203" s="20" t="s">
        <v>1475</v>
      </c>
      <c r="G203" s="20" t="s">
        <v>1476</v>
      </c>
      <c r="H203" s="20" t="s">
        <v>1477</v>
      </c>
      <c r="I203" s="20" t="s">
        <v>96</v>
      </c>
      <c r="J203" s="20" t="s">
        <v>97</v>
      </c>
      <c r="K203" s="20" t="s">
        <v>1428</v>
      </c>
      <c r="L203" s="20" t="s">
        <v>1429</v>
      </c>
      <c r="M203" s="20" t="s">
        <v>1465</v>
      </c>
      <c r="N203" s="20" t="s">
        <v>1478</v>
      </c>
      <c r="O203" s="20" t="s">
        <v>117</v>
      </c>
      <c r="P203" s="20">
        <v>1</v>
      </c>
      <c r="Q203" s="21">
        <v>46427.75</v>
      </c>
      <c r="R203" s="21">
        <v>46429.75</v>
      </c>
      <c r="S203" s="20">
        <f>NETWORKDAYS(Q203,R203)</f>
        <v>3</v>
      </c>
      <c r="T203" s="21" t="s">
        <v>37</v>
      </c>
      <c r="U203" s="21" t="s">
        <v>37</v>
      </c>
      <c r="V203" s="20" t="s">
        <v>102</v>
      </c>
      <c r="W203" s="22">
        <v>0</v>
      </c>
      <c r="X203" s="20" t="str">
        <f>IF(OR(V203="Completada",V203="No aplica"),"VERDE",IF(V203="Bloqueada","ROJO",IF(R203&lt;TODAY(),"ROJO",IF(AND(R203-TODAY()&lt;=7,W203&lt;1),"AMARILLO","GRIS"))))</f>
        <v>GRIS</v>
      </c>
      <c r="Y203" s="20" t="s">
        <v>37</v>
      </c>
    </row>
    <row r="204" ht="46" customHeight="1" spans="1:25" x14ac:dyDescent="0.25">
      <c r="A204" s="17" t="s">
        <v>1479</v>
      </c>
      <c r="B204" s="17" t="s">
        <v>779</v>
      </c>
      <c r="C204" s="17" t="s">
        <v>55</v>
      </c>
      <c r="D204" s="17" t="s">
        <v>1480</v>
      </c>
      <c r="E204" s="17" t="s">
        <v>1481</v>
      </c>
      <c r="F204" s="17" t="s">
        <v>1482</v>
      </c>
      <c r="G204" s="17" t="s">
        <v>1483</v>
      </c>
      <c r="H204" s="17" t="s">
        <v>1484</v>
      </c>
      <c r="I204" s="17" t="s">
        <v>96</v>
      </c>
      <c r="J204" s="17" t="s">
        <v>97</v>
      </c>
      <c r="K204" s="17" t="s">
        <v>1428</v>
      </c>
      <c r="L204" s="17" t="s">
        <v>1429</v>
      </c>
      <c r="M204" s="17" t="s">
        <v>1472</v>
      </c>
      <c r="N204" s="17" t="s">
        <v>1485</v>
      </c>
      <c r="O204" s="17" t="s">
        <v>117</v>
      </c>
      <c r="P204" s="17">
        <v>1</v>
      </c>
      <c r="Q204" s="18">
        <v>46430.75</v>
      </c>
      <c r="R204" s="18">
        <v>46434.75</v>
      </c>
      <c r="S204" s="17">
        <f>NETWORKDAYS(Q204,R204)</f>
        <v>3</v>
      </c>
      <c r="T204" s="18" t="s">
        <v>37</v>
      </c>
      <c r="U204" s="18" t="s">
        <v>37</v>
      </c>
      <c r="V204" s="17" t="s">
        <v>102</v>
      </c>
      <c r="W204" s="19">
        <v>0</v>
      </c>
      <c r="X204" s="17" t="str">
        <f>IF(OR(V204="Completada",V204="No aplica"),"VERDE",IF(V204="Bloqueada","ROJO",IF(R204&lt;TODAY(),"ROJO",IF(AND(R204-TODAY()&lt;=7,W204&lt;1),"AMARILLO","GRIS"))))</f>
        <v>GRIS</v>
      </c>
      <c r="Y204" s="17" t="s">
        <v>37</v>
      </c>
    </row>
    <row r="205" ht="46" customHeight="1" spans="1:25" x14ac:dyDescent="0.25">
      <c r="A205" s="20" t="s">
        <v>1486</v>
      </c>
      <c r="B205" s="20" t="s">
        <v>779</v>
      </c>
      <c r="C205" s="20" t="s">
        <v>55</v>
      </c>
      <c r="D205" s="20" t="s">
        <v>1487</v>
      </c>
      <c r="E205" s="20" t="s">
        <v>1488</v>
      </c>
      <c r="F205" s="20" t="s">
        <v>1489</v>
      </c>
      <c r="G205" s="20" t="s">
        <v>1490</v>
      </c>
      <c r="H205" s="20" t="s">
        <v>1491</v>
      </c>
      <c r="I205" s="20" t="s">
        <v>96</v>
      </c>
      <c r="J205" s="20" t="s">
        <v>97</v>
      </c>
      <c r="K205" s="20" t="s">
        <v>1428</v>
      </c>
      <c r="L205" s="20" t="s">
        <v>1429</v>
      </c>
      <c r="M205" s="20" t="s">
        <v>1479</v>
      </c>
      <c r="N205" s="20" t="s">
        <v>1492</v>
      </c>
      <c r="O205" s="20" t="s">
        <v>117</v>
      </c>
      <c r="P205" s="20">
        <v>1</v>
      </c>
      <c r="Q205" s="21">
        <v>46435.75</v>
      </c>
      <c r="R205" s="21">
        <v>46440.75</v>
      </c>
      <c r="S205" s="20">
        <f>NETWORKDAYS(Q205,R205)</f>
        <v>4</v>
      </c>
      <c r="T205" s="21" t="s">
        <v>37</v>
      </c>
      <c r="U205" s="21" t="s">
        <v>37</v>
      </c>
      <c r="V205" s="20" t="s">
        <v>102</v>
      </c>
      <c r="W205" s="22">
        <v>0</v>
      </c>
      <c r="X205" s="20" t="str">
        <f>IF(OR(V205="Completada",V205="No aplica"),"VERDE",IF(V205="Bloqueada","ROJO",IF(R205&lt;TODAY(),"ROJO",IF(AND(R205-TODAY()&lt;=7,W205&lt;1),"AMARILLO","GRIS"))))</f>
        <v>GRIS</v>
      </c>
      <c r="Y205" s="20" t="s">
        <v>37</v>
      </c>
    </row>
    <row r="206" ht="46" customHeight="1" spans="1:25" x14ac:dyDescent="0.25">
      <c r="A206" s="17" t="s">
        <v>1493</v>
      </c>
      <c r="B206" s="17" t="s">
        <v>779</v>
      </c>
      <c r="C206" s="17" t="s">
        <v>56</v>
      </c>
      <c r="D206" s="17" t="s">
        <v>1494</v>
      </c>
      <c r="E206" s="17" t="s">
        <v>1495</v>
      </c>
      <c r="F206" s="17" t="s">
        <v>1496</v>
      </c>
      <c r="G206" s="17" t="s">
        <v>1497</v>
      </c>
      <c r="H206" s="17" t="s">
        <v>1498</v>
      </c>
      <c r="I206" s="17" t="s">
        <v>96</v>
      </c>
      <c r="J206" s="17" t="s">
        <v>97</v>
      </c>
      <c r="K206" s="17" t="s">
        <v>1499</v>
      </c>
      <c r="L206" s="17" t="s">
        <v>297</v>
      </c>
      <c r="M206" s="17" t="s">
        <v>37</v>
      </c>
      <c r="N206" s="17" t="s">
        <v>100</v>
      </c>
      <c r="O206" s="17" t="s">
        <v>101</v>
      </c>
      <c r="P206" s="17">
        <v>2</v>
      </c>
      <c r="Q206" s="18">
        <v>46394.75</v>
      </c>
      <c r="R206" s="18">
        <v>46399.75</v>
      </c>
      <c r="S206" s="17">
        <f>NETWORKDAYS(Q206,R206)</f>
        <v>4</v>
      </c>
      <c r="T206" s="18" t="s">
        <v>37</v>
      </c>
      <c r="U206" s="18" t="s">
        <v>37</v>
      </c>
      <c r="V206" s="17" t="s">
        <v>102</v>
      </c>
      <c r="W206" s="19">
        <v>0</v>
      </c>
      <c r="X206" s="17" t="str">
        <f>IF(OR(V206="Completada",V206="No aplica"),"VERDE",IF(V206="Bloqueada","ROJO",IF(R206&lt;TODAY(),"ROJO",IF(AND(R206-TODAY()&lt;=7,W206&lt;1),"AMARILLO","GRIS"))))</f>
        <v>GRIS</v>
      </c>
      <c r="Y206" s="17" t="s">
        <v>37</v>
      </c>
    </row>
    <row r="207" ht="46" customHeight="1" spans="1:25" x14ac:dyDescent="0.25">
      <c r="A207" s="20" t="s">
        <v>1500</v>
      </c>
      <c r="B207" s="20" t="s">
        <v>779</v>
      </c>
      <c r="C207" s="20" t="s">
        <v>56</v>
      </c>
      <c r="D207" s="20" t="s">
        <v>1501</v>
      </c>
      <c r="E207" s="20" t="s">
        <v>1502</v>
      </c>
      <c r="F207" s="20" t="s">
        <v>1503</v>
      </c>
      <c r="G207" s="20" t="s">
        <v>1504</v>
      </c>
      <c r="H207" s="20" t="s">
        <v>1505</v>
      </c>
      <c r="I207" s="20" t="s">
        <v>96</v>
      </c>
      <c r="J207" s="20" t="s">
        <v>97</v>
      </c>
      <c r="K207" s="20" t="s">
        <v>1499</v>
      </c>
      <c r="L207" s="20" t="s">
        <v>297</v>
      </c>
      <c r="M207" s="20" t="s">
        <v>1493</v>
      </c>
      <c r="N207" s="20" t="s">
        <v>1506</v>
      </c>
      <c r="O207" s="20" t="s">
        <v>101</v>
      </c>
      <c r="P207" s="20">
        <v>2</v>
      </c>
      <c r="Q207" s="21">
        <v>46400.75</v>
      </c>
      <c r="R207" s="21">
        <v>46402.75</v>
      </c>
      <c r="S207" s="20">
        <f>NETWORKDAYS(Q207,R207)</f>
        <v>3</v>
      </c>
      <c r="T207" s="21" t="s">
        <v>37</v>
      </c>
      <c r="U207" s="21" t="s">
        <v>37</v>
      </c>
      <c r="V207" s="20" t="s">
        <v>102</v>
      </c>
      <c r="W207" s="22">
        <v>0</v>
      </c>
      <c r="X207" s="20" t="str">
        <f>IF(OR(V207="Completada",V207="No aplica"),"VERDE",IF(V207="Bloqueada","ROJO",IF(R207&lt;TODAY(),"ROJO",IF(AND(R207-TODAY()&lt;=7,W207&lt;1),"AMARILLO","GRIS"))))</f>
        <v>GRIS</v>
      </c>
      <c r="Y207" s="20" t="s">
        <v>37</v>
      </c>
    </row>
    <row r="208" ht="46" customHeight="1" spans="1:25" x14ac:dyDescent="0.25">
      <c r="A208" s="17" t="s">
        <v>1507</v>
      </c>
      <c r="B208" s="17" t="s">
        <v>779</v>
      </c>
      <c r="C208" s="17" t="s">
        <v>56</v>
      </c>
      <c r="D208" s="17" t="s">
        <v>1508</v>
      </c>
      <c r="E208" s="17" t="s">
        <v>1509</v>
      </c>
      <c r="F208" s="17" t="s">
        <v>1510</v>
      </c>
      <c r="G208" s="17" t="s">
        <v>1511</v>
      </c>
      <c r="H208" s="17" t="s">
        <v>1512</v>
      </c>
      <c r="I208" s="17" t="s">
        <v>96</v>
      </c>
      <c r="J208" s="17" t="s">
        <v>97</v>
      </c>
      <c r="K208" s="17" t="s">
        <v>1499</v>
      </c>
      <c r="L208" s="17" t="s">
        <v>297</v>
      </c>
      <c r="M208" s="17" t="s">
        <v>1500</v>
      </c>
      <c r="N208" s="17" t="s">
        <v>1513</v>
      </c>
      <c r="O208" s="17" t="s">
        <v>101</v>
      </c>
      <c r="P208" s="17">
        <v>2</v>
      </c>
      <c r="Q208" s="18">
        <v>46405.75</v>
      </c>
      <c r="R208" s="18">
        <v>46407.75</v>
      </c>
      <c r="S208" s="17">
        <f>NETWORKDAYS(Q208,R208)</f>
        <v>3</v>
      </c>
      <c r="T208" s="18" t="s">
        <v>37</v>
      </c>
      <c r="U208" s="18" t="s">
        <v>37</v>
      </c>
      <c r="V208" s="17" t="s">
        <v>102</v>
      </c>
      <c r="W208" s="19">
        <v>0</v>
      </c>
      <c r="X208" s="17" t="str">
        <f>IF(OR(V208="Completada",V208="No aplica"),"VERDE",IF(V208="Bloqueada","ROJO",IF(R208&lt;TODAY(),"ROJO",IF(AND(R208-TODAY()&lt;=7,W208&lt;1),"AMARILLO","GRIS"))))</f>
        <v>GRIS</v>
      </c>
      <c r="Y208" s="17" t="s">
        <v>37</v>
      </c>
    </row>
    <row r="209" ht="46" customHeight="1" spans="1:25" x14ac:dyDescent="0.25">
      <c r="A209" s="20" t="s">
        <v>1514</v>
      </c>
      <c r="B209" s="20" t="s">
        <v>779</v>
      </c>
      <c r="C209" s="20" t="s">
        <v>56</v>
      </c>
      <c r="D209" s="20" t="s">
        <v>1515</v>
      </c>
      <c r="E209" s="20" t="s">
        <v>1516</v>
      </c>
      <c r="F209" s="20" t="s">
        <v>1517</v>
      </c>
      <c r="G209" s="20" t="s">
        <v>1518</v>
      </c>
      <c r="H209" s="20" t="s">
        <v>1519</v>
      </c>
      <c r="I209" s="20" t="s">
        <v>96</v>
      </c>
      <c r="J209" s="20" t="s">
        <v>97</v>
      </c>
      <c r="K209" s="20" t="s">
        <v>1499</v>
      </c>
      <c r="L209" s="20" t="s">
        <v>297</v>
      </c>
      <c r="M209" s="20" t="s">
        <v>1507</v>
      </c>
      <c r="N209" s="20" t="s">
        <v>1520</v>
      </c>
      <c r="O209" s="20" t="s">
        <v>168</v>
      </c>
      <c r="P209" s="20">
        <v>3</v>
      </c>
      <c r="Q209" s="21">
        <v>46408.75</v>
      </c>
      <c r="R209" s="21">
        <v>46414.75</v>
      </c>
      <c r="S209" s="20">
        <f>NETWORKDAYS(Q209,R209)</f>
        <v>5</v>
      </c>
      <c r="T209" s="21" t="s">
        <v>37</v>
      </c>
      <c r="U209" s="21" t="s">
        <v>37</v>
      </c>
      <c r="V209" s="20" t="s">
        <v>102</v>
      </c>
      <c r="W209" s="22">
        <v>0</v>
      </c>
      <c r="X209" s="20" t="str">
        <f>IF(OR(V209="Completada",V209="No aplica"),"VERDE",IF(V209="Bloqueada","ROJO",IF(R209&lt;TODAY(),"ROJO",IF(AND(R209-TODAY()&lt;=7,W209&lt;1),"AMARILLO","GRIS"))))</f>
        <v>GRIS</v>
      </c>
      <c r="Y209" s="20" t="s">
        <v>37</v>
      </c>
    </row>
    <row r="210" ht="46" customHeight="1" spans="1:25" x14ac:dyDescent="0.25">
      <c r="A210" s="17" t="s">
        <v>1521</v>
      </c>
      <c r="B210" s="17" t="s">
        <v>779</v>
      </c>
      <c r="C210" s="17" t="s">
        <v>56</v>
      </c>
      <c r="D210" s="17" t="s">
        <v>1522</v>
      </c>
      <c r="E210" s="17" t="s">
        <v>1523</v>
      </c>
      <c r="F210" s="17" t="s">
        <v>1524</v>
      </c>
      <c r="G210" s="17" t="s">
        <v>1525</v>
      </c>
      <c r="H210" s="17" t="s">
        <v>1526</v>
      </c>
      <c r="I210" s="17" t="s">
        <v>96</v>
      </c>
      <c r="J210" s="17" t="s">
        <v>97</v>
      </c>
      <c r="K210" s="17" t="s">
        <v>1499</v>
      </c>
      <c r="L210" s="17" t="s">
        <v>297</v>
      </c>
      <c r="M210" s="17" t="s">
        <v>1514</v>
      </c>
      <c r="N210" s="17" t="s">
        <v>1527</v>
      </c>
      <c r="O210" s="17" t="s">
        <v>117</v>
      </c>
      <c r="P210" s="17">
        <v>1</v>
      </c>
      <c r="Q210" s="18">
        <v>46415.75</v>
      </c>
      <c r="R210" s="18">
        <v>46419.75</v>
      </c>
      <c r="S210" s="17">
        <f>NETWORKDAYS(Q210,R210)</f>
        <v>3</v>
      </c>
      <c r="T210" s="18" t="s">
        <v>37</v>
      </c>
      <c r="U210" s="18" t="s">
        <v>37</v>
      </c>
      <c r="V210" s="17" t="s">
        <v>102</v>
      </c>
      <c r="W210" s="19">
        <v>0</v>
      </c>
      <c r="X210" s="17" t="str">
        <f>IF(OR(V210="Completada",V210="No aplica"),"VERDE",IF(V210="Bloqueada","ROJO",IF(R210&lt;TODAY(),"ROJO",IF(AND(R210-TODAY()&lt;=7,W210&lt;1),"AMARILLO","GRIS"))))</f>
        <v>GRIS</v>
      </c>
      <c r="Y210" s="17" t="s">
        <v>37</v>
      </c>
    </row>
    <row r="211" ht="46" customHeight="1" spans="1:25" x14ac:dyDescent="0.25">
      <c r="A211" s="20" t="s">
        <v>1528</v>
      </c>
      <c r="B211" s="20" t="s">
        <v>779</v>
      </c>
      <c r="C211" s="20" t="s">
        <v>56</v>
      </c>
      <c r="D211" s="20" t="s">
        <v>1529</v>
      </c>
      <c r="E211" s="20" t="s">
        <v>1530</v>
      </c>
      <c r="F211" s="20" t="s">
        <v>1531</v>
      </c>
      <c r="G211" s="20" t="s">
        <v>1532</v>
      </c>
      <c r="H211" s="20" t="s">
        <v>1533</v>
      </c>
      <c r="I211" s="20" t="s">
        <v>96</v>
      </c>
      <c r="J211" s="20" t="s">
        <v>97</v>
      </c>
      <c r="K211" s="20" t="s">
        <v>1499</v>
      </c>
      <c r="L211" s="20" t="s">
        <v>297</v>
      </c>
      <c r="M211" s="20" t="s">
        <v>1521</v>
      </c>
      <c r="N211" s="20" t="s">
        <v>1534</v>
      </c>
      <c r="O211" s="20" t="s">
        <v>117</v>
      </c>
      <c r="P211" s="20">
        <v>1</v>
      </c>
      <c r="Q211" s="21">
        <v>46420.75</v>
      </c>
      <c r="R211" s="21">
        <v>46422.75</v>
      </c>
      <c r="S211" s="20">
        <f>NETWORKDAYS(Q211,R211)</f>
        <v>3</v>
      </c>
      <c r="T211" s="21" t="s">
        <v>37</v>
      </c>
      <c r="U211" s="21" t="s">
        <v>37</v>
      </c>
      <c r="V211" s="20" t="s">
        <v>102</v>
      </c>
      <c r="W211" s="22">
        <v>0</v>
      </c>
      <c r="X211" s="20" t="str">
        <f>IF(OR(V211="Completada",V211="No aplica"),"VERDE",IF(V211="Bloqueada","ROJO",IF(R211&lt;TODAY(),"ROJO",IF(AND(R211-TODAY()&lt;=7,W211&lt;1),"AMARILLO","GRIS"))))</f>
        <v>GRIS</v>
      </c>
      <c r="Y211" s="20" t="s">
        <v>37</v>
      </c>
    </row>
    <row r="212" ht="46" customHeight="1" spans="1:25" x14ac:dyDescent="0.25">
      <c r="A212" s="17" t="s">
        <v>1535</v>
      </c>
      <c r="B212" s="17" t="s">
        <v>779</v>
      </c>
      <c r="C212" s="17" t="s">
        <v>56</v>
      </c>
      <c r="D212" s="17" t="s">
        <v>1536</v>
      </c>
      <c r="E212" s="17" t="s">
        <v>1537</v>
      </c>
      <c r="F212" s="17" t="s">
        <v>1538</v>
      </c>
      <c r="G212" s="17" t="s">
        <v>1539</v>
      </c>
      <c r="H212" s="17" t="s">
        <v>1540</v>
      </c>
      <c r="I212" s="17" t="s">
        <v>96</v>
      </c>
      <c r="J212" s="17" t="s">
        <v>97</v>
      </c>
      <c r="K212" s="17" t="s">
        <v>1499</v>
      </c>
      <c r="L212" s="17" t="s">
        <v>297</v>
      </c>
      <c r="M212" s="17" t="s">
        <v>1528</v>
      </c>
      <c r="N212" s="17" t="s">
        <v>1541</v>
      </c>
      <c r="O212" s="17" t="s">
        <v>117</v>
      </c>
      <c r="P212" s="17">
        <v>1</v>
      </c>
      <c r="Q212" s="18">
        <v>46423.75</v>
      </c>
      <c r="R212" s="18">
        <v>46428.75</v>
      </c>
      <c r="S212" s="17">
        <f>NETWORKDAYS(Q212,R212)</f>
        <v>4</v>
      </c>
      <c r="T212" s="18" t="s">
        <v>37</v>
      </c>
      <c r="U212" s="18" t="s">
        <v>37</v>
      </c>
      <c r="V212" s="17" t="s">
        <v>102</v>
      </c>
      <c r="W212" s="19">
        <v>0</v>
      </c>
      <c r="X212" s="17" t="str">
        <f>IF(OR(V212="Completada",V212="No aplica"),"VERDE",IF(V212="Bloqueada","ROJO",IF(R212&lt;TODAY(),"ROJO",IF(AND(R212-TODAY()&lt;=7,W212&lt;1),"AMARILLO","GRIS"))))</f>
        <v>GRIS</v>
      </c>
      <c r="Y212" s="17" t="s">
        <v>37</v>
      </c>
    </row>
    <row r="213" ht="46" customHeight="1" spans="1:25" x14ac:dyDescent="0.25">
      <c r="A213" s="20" t="s">
        <v>1542</v>
      </c>
      <c r="B213" s="20" t="s">
        <v>779</v>
      </c>
      <c r="C213" s="20" t="s">
        <v>56</v>
      </c>
      <c r="D213" s="20" t="s">
        <v>1543</v>
      </c>
      <c r="E213" s="20" t="s">
        <v>1544</v>
      </c>
      <c r="F213" s="20" t="s">
        <v>1545</v>
      </c>
      <c r="G213" s="20" t="s">
        <v>1546</v>
      </c>
      <c r="H213" s="20" t="s">
        <v>1547</v>
      </c>
      <c r="I213" s="20" t="s">
        <v>96</v>
      </c>
      <c r="J213" s="20" t="s">
        <v>97</v>
      </c>
      <c r="K213" s="20" t="s">
        <v>1499</v>
      </c>
      <c r="L213" s="20" t="s">
        <v>297</v>
      </c>
      <c r="M213" s="20" t="s">
        <v>1535</v>
      </c>
      <c r="N213" s="20" t="s">
        <v>1548</v>
      </c>
      <c r="O213" s="20" t="s">
        <v>117</v>
      </c>
      <c r="P213" s="20">
        <v>1</v>
      </c>
      <c r="Q213" s="21">
        <v>46429.75</v>
      </c>
      <c r="R213" s="21">
        <v>46433.75</v>
      </c>
      <c r="S213" s="20">
        <f>NETWORKDAYS(Q213,R213)</f>
        <v>3</v>
      </c>
      <c r="T213" s="21" t="s">
        <v>37</v>
      </c>
      <c r="U213" s="21" t="s">
        <v>37</v>
      </c>
      <c r="V213" s="20" t="s">
        <v>102</v>
      </c>
      <c r="W213" s="22">
        <v>0</v>
      </c>
      <c r="X213" s="20" t="str">
        <f>IF(OR(V213="Completada",V213="No aplica"),"VERDE",IF(V213="Bloqueada","ROJO",IF(R213&lt;TODAY(),"ROJO",IF(AND(R213-TODAY()&lt;=7,W213&lt;1),"AMARILLO","GRIS"))))</f>
        <v>GRIS</v>
      </c>
      <c r="Y213" s="20" t="s">
        <v>37</v>
      </c>
    </row>
    <row r="214" ht="46" customHeight="1" spans="1:25" x14ac:dyDescent="0.25">
      <c r="A214" s="17" t="s">
        <v>1549</v>
      </c>
      <c r="B214" s="17" t="s">
        <v>779</v>
      </c>
      <c r="C214" s="17" t="s">
        <v>56</v>
      </c>
      <c r="D214" s="17" t="s">
        <v>1550</v>
      </c>
      <c r="E214" s="17" t="s">
        <v>1551</v>
      </c>
      <c r="F214" s="17" t="s">
        <v>1552</v>
      </c>
      <c r="G214" s="17" t="s">
        <v>1553</v>
      </c>
      <c r="H214" s="17" t="s">
        <v>1554</v>
      </c>
      <c r="I214" s="17" t="s">
        <v>96</v>
      </c>
      <c r="J214" s="17" t="s">
        <v>97</v>
      </c>
      <c r="K214" s="17" t="s">
        <v>1499</v>
      </c>
      <c r="L214" s="17" t="s">
        <v>297</v>
      </c>
      <c r="M214" s="17" t="s">
        <v>1542</v>
      </c>
      <c r="N214" s="17" t="s">
        <v>1555</v>
      </c>
      <c r="O214" s="17" t="s">
        <v>117</v>
      </c>
      <c r="P214" s="17">
        <v>1</v>
      </c>
      <c r="Q214" s="18">
        <v>46434.75</v>
      </c>
      <c r="R214" s="18">
        <v>46436.75</v>
      </c>
      <c r="S214" s="17">
        <f>NETWORKDAYS(Q214,R214)</f>
        <v>3</v>
      </c>
      <c r="T214" s="18" t="s">
        <v>37</v>
      </c>
      <c r="U214" s="18" t="s">
        <v>37</v>
      </c>
      <c r="V214" s="17" t="s">
        <v>102</v>
      </c>
      <c r="W214" s="19">
        <v>0</v>
      </c>
      <c r="X214" s="17" t="str">
        <f>IF(OR(V214="Completada",V214="No aplica"),"VERDE",IF(V214="Bloqueada","ROJO",IF(R214&lt;TODAY(),"ROJO",IF(AND(R214-TODAY()&lt;=7,W214&lt;1),"AMARILLO","GRIS"))))</f>
        <v>GRIS</v>
      </c>
      <c r="Y214" s="17" t="s">
        <v>37</v>
      </c>
    </row>
    <row r="215" ht="46" customHeight="1" spans="1:25" x14ac:dyDescent="0.25">
      <c r="A215" s="20" t="s">
        <v>1556</v>
      </c>
      <c r="B215" s="20" t="s">
        <v>779</v>
      </c>
      <c r="C215" s="20" t="s">
        <v>56</v>
      </c>
      <c r="D215" s="20" t="s">
        <v>1557</v>
      </c>
      <c r="E215" s="20" t="s">
        <v>1558</v>
      </c>
      <c r="F215" s="20" t="s">
        <v>1559</v>
      </c>
      <c r="G215" s="20" t="s">
        <v>1560</v>
      </c>
      <c r="H215" s="20" t="s">
        <v>1561</v>
      </c>
      <c r="I215" s="20" t="s">
        <v>96</v>
      </c>
      <c r="J215" s="20" t="s">
        <v>97</v>
      </c>
      <c r="K215" s="20" t="s">
        <v>1499</v>
      </c>
      <c r="L215" s="20" t="s">
        <v>297</v>
      </c>
      <c r="M215" s="20" t="s">
        <v>1549</v>
      </c>
      <c r="N215" s="20" t="s">
        <v>1562</v>
      </c>
      <c r="O215" s="20" t="s">
        <v>117</v>
      </c>
      <c r="P215" s="20">
        <v>1</v>
      </c>
      <c r="Q215" s="21">
        <v>46437.75</v>
      </c>
      <c r="R215" s="21">
        <v>46442.75</v>
      </c>
      <c r="S215" s="20">
        <f>NETWORKDAYS(Q215,R215)</f>
        <v>4</v>
      </c>
      <c r="T215" s="21" t="s">
        <v>37</v>
      </c>
      <c r="U215" s="21" t="s">
        <v>37</v>
      </c>
      <c r="V215" s="20" t="s">
        <v>102</v>
      </c>
      <c r="W215" s="22">
        <v>0</v>
      </c>
      <c r="X215" s="20" t="str">
        <f>IF(OR(V215="Completada",V215="No aplica"),"VERDE",IF(V215="Bloqueada","ROJO",IF(R215&lt;TODAY(),"ROJO",IF(AND(R215-TODAY()&lt;=7,W215&lt;1),"AMARILLO","GRIS"))))</f>
        <v>GRIS</v>
      </c>
      <c r="Y215" s="20" t="s">
        <v>37</v>
      </c>
    </row>
    <row r="216" ht="46" customHeight="1" spans="1:25" x14ac:dyDescent="0.25">
      <c r="A216" s="17" t="s">
        <v>1563</v>
      </c>
      <c r="B216" s="17" t="s">
        <v>779</v>
      </c>
      <c r="C216" s="17" t="s">
        <v>57</v>
      </c>
      <c r="D216" s="17" t="s">
        <v>1564</v>
      </c>
      <c r="E216" s="17" t="s">
        <v>1565</v>
      </c>
      <c r="F216" s="17" t="s">
        <v>1566</v>
      </c>
      <c r="G216" s="17" t="s">
        <v>1567</v>
      </c>
      <c r="H216" s="17" t="s">
        <v>1568</v>
      </c>
      <c r="I216" s="17" t="s">
        <v>96</v>
      </c>
      <c r="J216" s="17" t="s">
        <v>97</v>
      </c>
      <c r="K216" s="17" t="s">
        <v>296</v>
      </c>
      <c r="L216" s="17" t="s">
        <v>1569</v>
      </c>
      <c r="M216" s="17" t="s">
        <v>37</v>
      </c>
      <c r="N216" s="17" t="s">
        <v>100</v>
      </c>
      <c r="O216" s="17" t="s">
        <v>101</v>
      </c>
      <c r="P216" s="17">
        <v>2</v>
      </c>
      <c r="Q216" s="18">
        <v>46395.75</v>
      </c>
      <c r="R216" s="18">
        <v>46400.75</v>
      </c>
      <c r="S216" s="17">
        <f>NETWORKDAYS(Q216,R216)</f>
        <v>4</v>
      </c>
      <c r="T216" s="18" t="s">
        <v>37</v>
      </c>
      <c r="U216" s="18" t="s">
        <v>37</v>
      </c>
      <c r="V216" s="17" t="s">
        <v>102</v>
      </c>
      <c r="W216" s="19">
        <v>0</v>
      </c>
      <c r="X216" s="17" t="str">
        <f>IF(OR(V216="Completada",V216="No aplica"),"VERDE",IF(V216="Bloqueada","ROJO",IF(R216&lt;TODAY(),"ROJO",IF(AND(R216-TODAY()&lt;=7,W216&lt;1),"AMARILLO","GRIS"))))</f>
        <v>GRIS</v>
      </c>
      <c r="Y216" s="17" t="s">
        <v>37</v>
      </c>
    </row>
    <row r="217" ht="46" customHeight="1" spans="1:25" x14ac:dyDescent="0.25">
      <c r="A217" s="20" t="s">
        <v>1570</v>
      </c>
      <c r="B217" s="20" t="s">
        <v>779</v>
      </c>
      <c r="C217" s="20" t="s">
        <v>57</v>
      </c>
      <c r="D217" s="20" t="s">
        <v>1571</v>
      </c>
      <c r="E217" s="20" t="s">
        <v>1572</v>
      </c>
      <c r="F217" s="20" t="s">
        <v>1573</v>
      </c>
      <c r="G217" s="20" t="s">
        <v>1574</v>
      </c>
      <c r="H217" s="20" t="s">
        <v>1575</v>
      </c>
      <c r="I217" s="20" t="s">
        <v>96</v>
      </c>
      <c r="J217" s="20" t="s">
        <v>97</v>
      </c>
      <c r="K217" s="20" t="s">
        <v>296</v>
      </c>
      <c r="L217" s="20" t="s">
        <v>1569</v>
      </c>
      <c r="M217" s="20" t="s">
        <v>1563</v>
      </c>
      <c r="N217" s="20" t="s">
        <v>1576</v>
      </c>
      <c r="O217" s="20" t="s">
        <v>101</v>
      </c>
      <c r="P217" s="20">
        <v>2</v>
      </c>
      <c r="Q217" s="21">
        <v>46401.75</v>
      </c>
      <c r="R217" s="21">
        <v>46405.75</v>
      </c>
      <c r="S217" s="20">
        <f>NETWORKDAYS(Q217,R217)</f>
        <v>3</v>
      </c>
      <c r="T217" s="21" t="s">
        <v>37</v>
      </c>
      <c r="U217" s="21" t="s">
        <v>37</v>
      </c>
      <c r="V217" s="20" t="s">
        <v>102</v>
      </c>
      <c r="W217" s="22">
        <v>0</v>
      </c>
      <c r="X217" s="20" t="str">
        <f>IF(OR(V217="Completada",V217="No aplica"),"VERDE",IF(V217="Bloqueada","ROJO",IF(R217&lt;TODAY(),"ROJO",IF(AND(R217-TODAY()&lt;=7,W217&lt;1),"AMARILLO","GRIS"))))</f>
        <v>GRIS</v>
      </c>
      <c r="Y217" s="20" t="s">
        <v>37</v>
      </c>
    </row>
    <row r="218" ht="46" customHeight="1" spans="1:25" x14ac:dyDescent="0.25">
      <c r="A218" s="17" t="s">
        <v>1577</v>
      </c>
      <c r="B218" s="17" t="s">
        <v>779</v>
      </c>
      <c r="C218" s="17" t="s">
        <v>57</v>
      </c>
      <c r="D218" s="17" t="s">
        <v>1578</v>
      </c>
      <c r="E218" s="17" t="s">
        <v>1579</v>
      </c>
      <c r="F218" s="17" t="s">
        <v>1580</v>
      </c>
      <c r="G218" s="17" t="s">
        <v>1581</v>
      </c>
      <c r="H218" s="17" t="s">
        <v>1582</v>
      </c>
      <c r="I218" s="17" t="s">
        <v>96</v>
      </c>
      <c r="J218" s="17" t="s">
        <v>97</v>
      </c>
      <c r="K218" s="17" t="s">
        <v>296</v>
      </c>
      <c r="L218" s="17" t="s">
        <v>1569</v>
      </c>
      <c r="M218" s="17" t="s">
        <v>1570</v>
      </c>
      <c r="N218" s="17" t="s">
        <v>1583</v>
      </c>
      <c r="O218" s="17" t="s">
        <v>117</v>
      </c>
      <c r="P218" s="17">
        <v>1</v>
      </c>
      <c r="Q218" s="18">
        <v>46406.75</v>
      </c>
      <c r="R218" s="18">
        <v>46408.75</v>
      </c>
      <c r="S218" s="17">
        <f>NETWORKDAYS(Q218,R218)</f>
        <v>3</v>
      </c>
      <c r="T218" s="18" t="s">
        <v>37</v>
      </c>
      <c r="U218" s="18" t="s">
        <v>37</v>
      </c>
      <c r="V218" s="17" t="s">
        <v>102</v>
      </c>
      <c r="W218" s="19">
        <v>0</v>
      </c>
      <c r="X218" s="17" t="str">
        <f>IF(OR(V218="Completada",V218="No aplica"),"VERDE",IF(V218="Bloqueada","ROJO",IF(R218&lt;TODAY(),"ROJO",IF(AND(R218-TODAY()&lt;=7,W218&lt;1),"AMARILLO","GRIS"))))</f>
        <v>GRIS</v>
      </c>
      <c r="Y218" s="17" t="s">
        <v>37</v>
      </c>
    </row>
    <row r="219" ht="46" customHeight="1" spans="1:25" x14ac:dyDescent="0.25">
      <c r="A219" s="20" t="s">
        <v>1584</v>
      </c>
      <c r="B219" s="20" t="s">
        <v>779</v>
      </c>
      <c r="C219" s="20" t="s">
        <v>57</v>
      </c>
      <c r="D219" s="20" t="s">
        <v>1585</v>
      </c>
      <c r="E219" s="20" t="s">
        <v>1586</v>
      </c>
      <c r="F219" s="20" t="s">
        <v>1587</v>
      </c>
      <c r="G219" s="20" t="s">
        <v>1588</v>
      </c>
      <c r="H219" s="20" t="s">
        <v>1589</v>
      </c>
      <c r="I219" s="20" t="s">
        <v>96</v>
      </c>
      <c r="J219" s="20" t="s">
        <v>97</v>
      </c>
      <c r="K219" s="20" t="s">
        <v>296</v>
      </c>
      <c r="L219" s="20" t="s">
        <v>1569</v>
      </c>
      <c r="M219" s="20" t="s">
        <v>1577</v>
      </c>
      <c r="N219" s="20" t="s">
        <v>1590</v>
      </c>
      <c r="O219" s="20" t="s">
        <v>117</v>
      </c>
      <c r="P219" s="20">
        <v>1</v>
      </c>
      <c r="Q219" s="21">
        <v>46409.75</v>
      </c>
      <c r="R219" s="21">
        <v>46414.75</v>
      </c>
      <c r="S219" s="20">
        <f>NETWORKDAYS(Q219,R219)</f>
        <v>4</v>
      </c>
      <c r="T219" s="21" t="s">
        <v>37</v>
      </c>
      <c r="U219" s="21" t="s">
        <v>37</v>
      </c>
      <c r="V219" s="20" t="s">
        <v>102</v>
      </c>
      <c r="W219" s="22">
        <v>0</v>
      </c>
      <c r="X219" s="20" t="str">
        <f>IF(OR(V219="Completada",V219="No aplica"),"VERDE",IF(V219="Bloqueada","ROJO",IF(R219&lt;TODAY(),"ROJO",IF(AND(R219-TODAY()&lt;=7,W219&lt;1),"AMARILLO","GRIS"))))</f>
        <v>GRIS</v>
      </c>
      <c r="Y219" s="20" t="s">
        <v>37</v>
      </c>
    </row>
    <row r="220" ht="46" customHeight="1" spans="1:25" x14ac:dyDescent="0.25">
      <c r="A220" s="17" t="s">
        <v>1591</v>
      </c>
      <c r="B220" s="17" t="s">
        <v>779</v>
      </c>
      <c r="C220" s="17" t="s">
        <v>57</v>
      </c>
      <c r="D220" s="17" t="s">
        <v>1592</v>
      </c>
      <c r="E220" s="17" t="s">
        <v>1593</v>
      </c>
      <c r="F220" s="17" t="s">
        <v>1594</v>
      </c>
      <c r="G220" s="17" t="s">
        <v>1595</v>
      </c>
      <c r="H220" s="17" t="s">
        <v>1596</v>
      </c>
      <c r="I220" s="17" t="s">
        <v>96</v>
      </c>
      <c r="J220" s="17" t="s">
        <v>97</v>
      </c>
      <c r="K220" s="17" t="s">
        <v>296</v>
      </c>
      <c r="L220" s="17" t="s">
        <v>1569</v>
      </c>
      <c r="M220" s="17" t="s">
        <v>1584</v>
      </c>
      <c r="N220" s="17" t="s">
        <v>1597</v>
      </c>
      <c r="O220" s="17" t="s">
        <v>117</v>
      </c>
      <c r="P220" s="17">
        <v>1</v>
      </c>
      <c r="Q220" s="18">
        <v>46415.75</v>
      </c>
      <c r="R220" s="18">
        <v>46419.75</v>
      </c>
      <c r="S220" s="17">
        <f>NETWORKDAYS(Q220,R220)</f>
        <v>3</v>
      </c>
      <c r="T220" s="18" t="s">
        <v>37</v>
      </c>
      <c r="U220" s="18" t="s">
        <v>37</v>
      </c>
      <c r="V220" s="17" t="s">
        <v>102</v>
      </c>
      <c r="W220" s="19">
        <v>0</v>
      </c>
      <c r="X220" s="17" t="str">
        <f>IF(OR(V220="Completada",V220="No aplica"),"VERDE",IF(V220="Bloqueada","ROJO",IF(R220&lt;TODAY(),"ROJO",IF(AND(R220-TODAY()&lt;=7,W220&lt;1),"AMARILLO","GRIS"))))</f>
        <v>GRIS</v>
      </c>
      <c r="Y220" s="17" t="s">
        <v>37</v>
      </c>
    </row>
    <row r="221" ht="46" customHeight="1" spans="1:25" x14ac:dyDescent="0.25">
      <c r="A221" s="20" t="s">
        <v>1598</v>
      </c>
      <c r="B221" s="20" t="s">
        <v>779</v>
      </c>
      <c r="C221" s="20" t="s">
        <v>57</v>
      </c>
      <c r="D221" s="20" t="s">
        <v>1599</v>
      </c>
      <c r="E221" s="20" t="s">
        <v>1600</v>
      </c>
      <c r="F221" s="20" t="s">
        <v>1601</v>
      </c>
      <c r="G221" s="20" t="s">
        <v>1602</v>
      </c>
      <c r="H221" s="20" t="s">
        <v>1603</v>
      </c>
      <c r="I221" s="20" t="s">
        <v>96</v>
      </c>
      <c r="J221" s="20" t="s">
        <v>97</v>
      </c>
      <c r="K221" s="20" t="s">
        <v>296</v>
      </c>
      <c r="L221" s="20" t="s">
        <v>1569</v>
      </c>
      <c r="M221" s="20" t="s">
        <v>1591</v>
      </c>
      <c r="N221" s="20" t="s">
        <v>1604</v>
      </c>
      <c r="O221" s="20" t="s">
        <v>101</v>
      </c>
      <c r="P221" s="20">
        <v>2</v>
      </c>
      <c r="Q221" s="21">
        <v>46420.75</v>
      </c>
      <c r="R221" s="21">
        <v>46422.75</v>
      </c>
      <c r="S221" s="20">
        <f>NETWORKDAYS(Q221,R221)</f>
        <v>3</v>
      </c>
      <c r="T221" s="21" t="s">
        <v>37</v>
      </c>
      <c r="U221" s="21" t="s">
        <v>37</v>
      </c>
      <c r="V221" s="20" t="s">
        <v>102</v>
      </c>
      <c r="W221" s="22">
        <v>0</v>
      </c>
      <c r="X221" s="20" t="str">
        <f>IF(OR(V221="Completada",V221="No aplica"),"VERDE",IF(V221="Bloqueada","ROJO",IF(R221&lt;TODAY(),"ROJO",IF(AND(R221-TODAY()&lt;=7,W221&lt;1),"AMARILLO","GRIS"))))</f>
        <v>GRIS</v>
      </c>
      <c r="Y221" s="20" t="s">
        <v>37</v>
      </c>
    </row>
    <row r="222" ht="46" customHeight="1" spans="1:25" x14ac:dyDescent="0.25">
      <c r="A222" s="17" t="s">
        <v>1605</v>
      </c>
      <c r="B222" s="17" t="s">
        <v>779</v>
      </c>
      <c r="C222" s="17" t="s">
        <v>57</v>
      </c>
      <c r="D222" s="17" t="s">
        <v>1606</v>
      </c>
      <c r="E222" s="17" t="s">
        <v>1607</v>
      </c>
      <c r="F222" s="17" t="s">
        <v>1608</v>
      </c>
      <c r="G222" s="17" t="s">
        <v>1609</v>
      </c>
      <c r="H222" s="17" t="s">
        <v>1610</v>
      </c>
      <c r="I222" s="17" t="s">
        <v>96</v>
      </c>
      <c r="J222" s="17" t="s">
        <v>97</v>
      </c>
      <c r="K222" s="17" t="s">
        <v>296</v>
      </c>
      <c r="L222" s="17" t="s">
        <v>1569</v>
      </c>
      <c r="M222" s="17" t="s">
        <v>1598</v>
      </c>
      <c r="N222" s="17" t="s">
        <v>1611</v>
      </c>
      <c r="O222" s="17" t="s">
        <v>117</v>
      </c>
      <c r="P222" s="17">
        <v>1</v>
      </c>
      <c r="Q222" s="18">
        <v>46423.75</v>
      </c>
      <c r="R222" s="18">
        <v>46428.75</v>
      </c>
      <c r="S222" s="17">
        <f>NETWORKDAYS(Q222,R222)</f>
        <v>4</v>
      </c>
      <c r="T222" s="18" t="s">
        <v>37</v>
      </c>
      <c r="U222" s="18" t="s">
        <v>37</v>
      </c>
      <c r="V222" s="17" t="s">
        <v>102</v>
      </c>
      <c r="W222" s="19">
        <v>0</v>
      </c>
      <c r="X222" s="17" t="str">
        <f>IF(OR(V222="Completada",V222="No aplica"),"VERDE",IF(V222="Bloqueada","ROJO",IF(R222&lt;TODAY(),"ROJO",IF(AND(R222-TODAY()&lt;=7,W222&lt;1),"AMARILLO","GRIS"))))</f>
        <v>GRIS</v>
      </c>
      <c r="Y222" s="17" t="s">
        <v>37</v>
      </c>
    </row>
    <row r="223" ht="46" customHeight="1" spans="1:25" x14ac:dyDescent="0.25">
      <c r="A223" s="20" t="s">
        <v>1612</v>
      </c>
      <c r="B223" s="20" t="s">
        <v>779</v>
      </c>
      <c r="C223" s="20" t="s">
        <v>57</v>
      </c>
      <c r="D223" s="20" t="s">
        <v>1613</v>
      </c>
      <c r="E223" s="20" t="s">
        <v>1614</v>
      </c>
      <c r="F223" s="20" t="s">
        <v>1615</v>
      </c>
      <c r="G223" s="20" t="s">
        <v>1616</v>
      </c>
      <c r="H223" s="20" t="s">
        <v>1617</v>
      </c>
      <c r="I223" s="20" t="s">
        <v>96</v>
      </c>
      <c r="J223" s="20" t="s">
        <v>97</v>
      </c>
      <c r="K223" s="20" t="s">
        <v>296</v>
      </c>
      <c r="L223" s="20" t="s">
        <v>1569</v>
      </c>
      <c r="M223" s="20" t="s">
        <v>1605</v>
      </c>
      <c r="N223" s="20" t="s">
        <v>1618</v>
      </c>
      <c r="O223" s="20" t="s">
        <v>117</v>
      </c>
      <c r="P223" s="20">
        <v>1</v>
      </c>
      <c r="Q223" s="21">
        <v>46429.75</v>
      </c>
      <c r="R223" s="21">
        <v>46433.75</v>
      </c>
      <c r="S223" s="20">
        <f>NETWORKDAYS(Q223,R223)</f>
        <v>3</v>
      </c>
      <c r="T223" s="21" t="s">
        <v>37</v>
      </c>
      <c r="U223" s="21" t="s">
        <v>37</v>
      </c>
      <c r="V223" s="20" t="s">
        <v>102</v>
      </c>
      <c r="W223" s="22">
        <v>0</v>
      </c>
      <c r="X223" s="20" t="str">
        <f>IF(OR(V223="Completada",V223="No aplica"),"VERDE",IF(V223="Bloqueada","ROJO",IF(R223&lt;TODAY(),"ROJO",IF(AND(R223-TODAY()&lt;=7,W223&lt;1),"AMARILLO","GRIS"))))</f>
        <v>GRIS</v>
      </c>
      <c r="Y223" s="20" t="s">
        <v>37</v>
      </c>
    </row>
    <row r="224" ht="46" customHeight="1" spans="1:25" x14ac:dyDescent="0.25">
      <c r="A224" s="17" t="s">
        <v>1619</v>
      </c>
      <c r="B224" s="17" t="s">
        <v>1620</v>
      </c>
      <c r="C224" s="17" t="s">
        <v>58</v>
      </c>
      <c r="D224" s="17" t="s">
        <v>1621</v>
      </c>
      <c r="E224" s="17" t="s">
        <v>1622</v>
      </c>
      <c r="F224" s="17" t="s">
        <v>1623</v>
      </c>
      <c r="G224" s="17" t="s">
        <v>1624</v>
      </c>
      <c r="H224" s="17" t="s">
        <v>1625</v>
      </c>
      <c r="I224" s="17" t="s">
        <v>96</v>
      </c>
      <c r="J224" s="17" t="s">
        <v>97</v>
      </c>
      <c r="K224" s="17" t="s">
        <v>166</v>
      </c>
      <c r="L224" s="17" t="s">
        <v>1626</v>
      </c>
      <c r="M224" s="17" t="s">
        <v>37</v>
      </c>
      <c r="N224" s="17" t="s">
        <v>100</v>
      </c>
      <c r="O224" s="17" t="s">
        <v>101</v>
      </c>
      <c r="P224" s="17">
        <v>2</v>
      </c>
      <c r="Q224" s="18">
        <v>46426.75</v>
      </c>
      <c r="R224" s="18">
        <v>46429.75</v>
      </c>
      <c r="S224" s="17">
        <f>NETWORKDAYS(Q224,R224)</f>
        <v>4</v>
      </c>
      <c r="T224" s="18" t="s">
        <v>37</v>
      </c>
      <c r="U224" s="18" t="s">
        <v>37</v>
      </c>
      <c r="V224" s="17" t="s">
        <v>102</v>
      </c>
      <c r="W224" s="19">
        <v>0</v>
      </c>
      <c r="X224" s="17" t="str">
        <f>IF(OR(V224="Completada",V224="No aplica"),"VERDE",IF(V224="Bloqueada","ROJO",IF(R224&lt;TODAY(),"ROJO",IF(AND(R224-TODAY()&lt;=7,W224&lt;1),"AMARILLO","GRIS"))))</f>
        <v>GRIS</v>
      </c>
      <c r="Y224" s="17" t="s">
        <v>37</v>
      </c>
    </row>
    <row r="225" ht="46" customHeight="1" spans="1:25" x14ac:dyDescent="0.25">
      <c r="A225" s="20" t="s">
        <v>1627</v>
      </c>
      <c r="B225" s="20" t="s">
        <v>1620</v>
      </c>
      <c r="C225" s="20" t="s">
        <v>58</v>
      </c>
      <c r="D225" s="20" t="s">
        <v>1628</v>
      </c>
      <c r="E225" s="20" t="s">
        <v>1629</v>
      </c>
      <c r="F225" s="20" t="s">
        <v>1630</v>
      </c>
      <c r="G225" s="20" t="s">
        <v>1631</v>
      </c>
      <c r="H225" s="20" t="s">
        <v>1632</v>
      </c>
      <c r="I225" s="20" t="s">
        <v>96</v>
      </c>
      <c r="J225" s="20" t="s">
        <v>97</v>
      </c>
      <c r="K225" s="20" t="s">
        <v>166</v>
      </c>
      <c r="L225" s="20" t="s">
        <v>1626</v>
      </c>
      <c r="M225" s="20" t="s">
        <v>1619</v>
      </c>
      <c r="N225" s="20" t="s">
        <v>1633</v>
      </c>
      <c r="O225" s="20" t="s">
        <v>101</v>
      </c>
      <c r="P225" s="20">
        <v>2</v>
      </c>
      <c r="Q225" s="21">
        <v>46430.75</v>
      </c>
      <c r="R225" s="21">
        <v>46434.75</v>
      </c>
      <c r="S225" s="20">
        <f>NETWORKDAYS(Q225,R225)</f>
        <v>3</v>
      </c>
      <c r="T225" s="21" t="s">
        <v>37</v>
      </c>
      <c r="U225" s="21" t="s">
        <v>37</v>
      </c>
      <c r="V225" s="20" t="s">
        <v>102</v>
      </c>
      <c r="W225" s="22">
        <v>0</v>
      </c>
      <c r="X225" s="20" t="str">
        <f>IF(OR(V225="Completada",V225="No aplica"),"VERDE",IF(V225="Bloqueada","ROJO",IF(R225&lt;TODAY(),"ROJO",IF(AND(R225-TODAY()&lt;=7,W225&lt;1),"AMARILLO","GRIS"))))</f>
        <v>GRIS</v>
      </c>
      <c r="Y225" s="20" t="s">
        <v>37</v>
      </c>
    </row>
    <row r="226" ht="46" customHeight="1" spans="1:25" x14ac:dyDescent="0.25">
      <c r="A226" s="17" t="s">
        <v>1634</v>
      </c>
      <c r="B226" s="17" t="s">
        <v>1620</v>
      </c>
      <c r="C226" s="17" t="s">
        <v>58</v>
      </c>
      <c r="D226" s="17" t="s">
        <v>1635</v>
      </c>
      <c r="E226" s="17" t="s">
        <v>1636</v>
      </c>
      <c r="F226" s="17" t="s">
        <v>1637</v>
      </c>
      <c r="G226" s="17" t="s">
        <v>1638</v>
      </c>
      <c r="H226" s="17" t="s">
        <v>1639</v>
      </c>
      <c r="I226" s="17" t="s">
        <v>96</v>
      </c>
      <c r="J226" s="17" t="s">
        <v>97</v>
      </c>
      <c r="K226" s="17" t="s">
        <v>166</v>
      </c>
      <c r="L226" s="17" t="s">
        <v>1626</v>
      </c>
      <c r="M226" s="17" t="s">
        <v>1627</v>
      </c>
      <c r="N226" s="17" t="s">
        <v>1640</v>
      </c>
      <c r="O226" s="17" t="s">
        <v>117</v>
      </c>
      <c r="P226" s="17">
        <v>1</v>
      </c>
      <c r="Q226" s="18">
        <v>46435.75</v>
      </c>
      <c r="R226" s="18">
        <v>46437.75</v>
      </c>
      <c r="S226" s="17">
        <f>NETWORKDAYS(Q226,R226)</f>
        <v>3</v>
      </c>
      <c r="T226" s="18" t="s">
        <v>37</v>
      </c>
      <c r="U226" s="18" t="s">
        <v>37</v>
      </c>
      <c r="V226" s="17" t="s">
        <v>102</v>
      </c>
      <c r="W226" s="19">
        <v>0</v>
      </c>
      <c r="X226" s="17" t="str">
        <f>IF(OR(V226="Completada",V226="No aplica"),"VERDE",IF(V226="Bloqueada","ROJO",IF(R226&lt;TODAY(),"ROJO",IF(AND(R226-TODAY()&lt;=7,W226&lt;1),"AMARILLO","GRIS"))))</f>
        <v>GRIS</v>
      </c>
      <c r="Y226" s="17" t="s">
        <v>37</v>
      </c>
    </row>
    <row r="227" ht="46" customHeight="1" spans="1:25" x14ac:dyDescent="0.25">
      <c r="A227" s="20" t="s">
        <v>1641</v>
      </c>
      <c r="B227" s="20" t="s">
        <v>1620</v>
      </c>
      <c r="C227" s="20" t="s">
        <v>58</v>
      </c>
      <c r="D227" s="20" t="s">
        <v>1642</v>
      </c>
      <c r="E227" s="20" t="s">
        <v>1643</v>
      </c>
      <c r="F227" s="20" t="s">
        <v>1644</v>
      </c>
      <c r="G227" s="20" t="s">
        <v>1645</v>
      </c>
      <c r="H227" s="20" t="s">
        <v>1646</v>
      </c>
      <c r="I227" s="20" t="s">
        <v>96</v>
      </c>
      <c r="J227" s="20" t="s">
        <v>97</v>
      </c>
      <c r="K227" s="20" t="s">
        <v>166</v>
      </c>
      <c r="L227" s="20" t="s">
        <v>1626</v>
      </c>
      <c r="M227" s="20" t="s">
        <v>1634</v>
      </c>
      <c r="N227" s="20" t="s">
        <v>1647</v>
      </c>
      <c r="O227" s="20" t="s">
        <v>117</v>
      </c>
      <c r="P227" s="20">
        <v>1</v>
      </c>
      <c r="Q227" s="21">
        <v>46440.75</v>
      </c>
      <c r="R227" s="21">
        <v>46443.75</v>
      </c>
      <c r="S227" s="20">
        <f>NETWORKDAYS(Q227,R227)</f>
        <v>4</v>
      </c>
      <c r="T227" s="21" t="s">
        <v>37</v>
      </c>
      <c r="U227" s="21" t="s">
        <v>37</v>
      </c>
      <c r="V227" s="20" t="s">
        <v>102</v>
      </c>
      <c r="W227" s="22">
        <v>0</v>
      </c>
      <c r="X227" s="20" t="str">
        <f>IF(OR(V227="Completada",V227="No aplica"),"VERDE",IF(V227="Bloqueada","ROJO",IF(R227&lt;TODAY(),"ROJO",IF(AND(R227-TODAY()&lt;=7,W227&lt;1),"AMARILLO","GRIS"))))</f>
        <v>GRIS</v>
      </c>
      <c r="Y227" s="20" t="s">
        <v>37</v>
      </c>
    </row>
    <row r="228" ht="46" customHeight="1" spans="1:25" x14ac:dyDescent="0.25">
      <c r="A228" s="17" t="s">
        <v>1648</v>
      </c>
      <c r="B228" s="17" t="s">
        <v>1620</v>
      </c>
      <c r="C228" s="17" t="s">
        <v>58</v>
      </c>
      <c r="D228" s="17" t="s">
        <v>1649</v>
      </c>
      <c r="E228" s="17" t="s">
        <v>1650</v>
      </c>
      <c r="F228" s="17" t="s">
        <v>1651</v>
      </c>
      <c r="G228" s="17" t="s">
        <v>1652</v>
      </c>
      <c r="H228" s="17" t="s">
        <v>1653</v>
      </c>
      <c r="I228" s="17" t="s">
        <v>96</v>
      </c>
      <c r="J228" s="17" t="s">
        <v>97</v>
      </c>
      <c r="K228" s="17" t="s">
        <v>166</v>
      </c>
      <c r="L228" s="17" t="s">
        <v>1626</v>
      </c>
      <c r="M228" s="17" t="s">
        <v>1641</v>
      </c>
      <c r="N228" s="17" t="s">
        <v>1654</v>
      </c>
      <c r="O228" s="17" t="s">
        <v>117</v>
      </c>
      <c r="P228" s="17">
        <v>1</v>
      </c>
      <c r="Q228" s="18">
        <v>46444.75</v>
      </c>
      <c r="R228" s="18">
        <v>46448.75</v>
      </c>
      <c r="S228" s="17">
        <f>NETWORKDAYS(Q228,R228)</f>
        <v>3</v>
      </c>
      <c r="T228" s="18" t="s">
        <v>37</v>
      </c>
      <c r="U228" s="18" t="s">
        <v>37</v>
      </c>
      <c r="V228" s="17" t="s">
        <v>102</v>
      </c>
      <c r="W228" s="19">
        <v>0</v>
      </c>
      <c r="X228" s="17" t="str">
        <f>IF(OR(V228="Completada",V228="No aplica"),"VERDE",IF(V228="Bloqueada","ROJO",IF(R228&lt;TODAY(),"ROJO",IF(AND(R228-TODAY()&lt;=7,W228&lt;1),"AMARILLO","GRIS"))))</f>
        <v>GRIS</v>
      </c>
      <c r="Y228" s="17" t="s">
        <v>37</v>
      </c>
    </row>
    <row r="229" ht="46" customHeight="1" spans="1:25" x14ac:dyDescent="0.25">
      <c r="A229" s="20" t="s">
        <v>1655</v>
      </c>
      <c r="B229" s="20" t="s">
        <v>1620</v>
      </c>
      <c r="C229" s="20" t="s">
        <v>58</v>
      </c>
      <c r="D229" s="20" t="s">
        <v>1656</v>
      </c>
      <c r="E229" s="20" t="s">
        <v>1657</v>
      </c>
      <c r="F229" s="20" t="s">
        <v>1658</v>
      </c>
      <c r="G229" s="20" t="s">
        <v>1659</v>
      </c>
      <c r="H229" s="20" t="s">
        <v>1660</v>
      </c>
      <c r="I229" s="20" t="s">
        <v>96</v>
      </c>
      <c r="J229" s="20" t="s">
        <v>97</v>
      </c>
      <c r="K229" s="20" t="s">
        <v>166</v>
      </c>
      <c r="L229" s="20" t="s">
        <v>1626</v>
      </c>
      <c r="M229" s="20" t="s">
        <v>1648</v>
      </c>
      <c r="N229" s="20" t="s">
        <v>1661</v>
      </c>
      <c r="O229" s="20" t="s">
        <v>117</v>
      </c>
      <c r="P229" s="20">
        <v>1</v>
      </c>
      <c r="Q229" s="21">
        <v>46449.75</v>
      </c>
      <c r="R229" s="21">
        <v>46451.75</v>
      </c>
      <c r="S229" s="20">
        <f>NETWORKDAYS(Q229,R229)</f>
        <v>3</v>
      </c>
      <c r="T229" s="21" t="s">
        <v>37</v>
      </c>
      <c r="U229" s="21" t="s">
        <v>37</v>
      </c>
      <c r="V229" s="20" t="s">
        <v>102</v>
      </c>
      <c r="W229" s="22">
        <v>0</v>
      </c>
      <c r="X229" s="20" t="str">
        <f>IF(OR(V229="Completada",V229="No aplica"),"VERDE",IF(V229="Bloqueada","ROJO",IF(R229&lt;TODAY(),"ROJO",IF(AND(R229-TODAY()&lt;=7,W229&lt;1),"AMARILLO","GRIS"))))</f>
        <v>GRIS</v>
      </c>
      <c r="Y229" s="20" t="s">
        <v>37</v>
      </c>
    </row>
    <row r="230" ht="46" customHeight="1" spans="1:25" x14ac:dyDescent="0.25">
      <c r="A230" s="17" t="s">
        <v>1662</v>
      </c>
      <c r="B230" s="17" t="s">
        <v>1620</v>
      </c>
      <c r="C230" s="17" t="s">
        <v>58</v>
      </c>
      <c r="D230" s="17" t="s">
        <v>1663</v>
      </c>
      <c r="E230" s="17" t="s">
        <v>1664</v>
      </c>
      <c r="F230" s="17" t="s">
        <v>1665</v>
      </c>
      <c r="G230" s="17" t="s">
        <v>1666</v>
      </c>
      <c r="H230" s="17" t="s">
        <v>1667</v>
      </c>
      <c r="I230" s="17" t="s">
        <v>96</v>
      </c>
      <c r="J230" s="17" t="s">
        <v>97</v>
      </c>
      <c r="K230" s="17" t="s">
        <v>166</v>
      </c>
      <c r="L230" s="17" t="s">
        <v>1626</v>
      </c>
      <c r="M230" s="17" t="s">
        <v>1655</v>
      </c>
      <c r="N230" s="17" t="s">
        <v>1668</v>
      </c>
      <c r="O230" s="17" t="s">
        <v>117</v>
      </c>
      <c r="P230" s="17">
        <v>1</v>
      </c>
      <c r="Q230" s="18">
        <v>46454.75</v>
      </c>
      <c r="R230" s="18">
        <v>46457.75</v>
      </c>
      <c r="S230" s="17">
        <f>NETWORKDAYS(Q230,R230)</f>
        <v>4</v>
      </c>
      <c r="T230" s="18" t="s">
        <v>37</v>
      </c>
      <c r="U230" s="18" t="s">
        <v>37</v>
      </c>
      <c r="V230" s="17" t="s">
        <v>102</v>
      </c>
      <c r="W230" s="19">
        <v>0</v>
      </c>
      <c r="X230" s="17" t="str">
        <f>IF(OR(V230="Completada",V230="No aplica"),"VERDE",IF(V230="Bloqueada","ROJO",IF(R230&lt;TODAY(),"ROJO",IF(AND(R230-TODAY()&lt;=7,W230&lt;1),"AMARILLO","GRIS"))))</f>
        <v>GRIS</v>
      </c>
      <c r="Y230" s="17" t="s">
        <v>37</v>
      </c>
    </row>
    <row r="231" ht="46" customHeight="1" spans="1:25" x14ac:dyDescent="0.25">
      <c r="A231" s="20" t="s">
        <v>1669</v>
      </c>
      <c r="B231" s="20" t="s">
        <v>1620</v>
      </c>
      <c r="C231" s="20" t="s">
        <v>58</v>
      </c>
      <c r="D231" s="20" t="s">
        <v>1670</v>
      </c>
      <c r="E231" s="20" t="s">
        <v>1671</v>
      </c>
      <c r="F231" s="20" t="s">
        <v>1672</v>
      </c>
      <c r="G231" s="20" t="s">
        <v>1673</v>
      </c>
      <c r="H231" s="20" t="s">
        <v>1674</v>
      </c>
      <c r="I231" s="20" t="s">
        <v>96</v>
      </c>
      <c r="J231" s="20" t="s">
        <v>97</v>
      </c>
      <c r="K231" s="20" t="s">
        <v>166</v>
      </c>
      <c r="L231" s="20" t="s">
        <v>1626</v>
      </c>
      <c r="M231" s="20" t="s">
        <v>1662</v>
      </c>
      <c r="N231" s="20" t="s">
        <v>1675</v>
      </c>
      <c r="O231" s="20" t="s">
        <v>117</v>
      </c>
      <c r="P231" s="20">
        <v>1</v>
      </c>
      <c r="Q231" s="21">
        <v>46458.75</v>
      </c>
      <c r="R231" s="21">
        <v>46462.75</v>
      </c>
      <c r="S231" s="20">
        <f>NETWORKDAYS(Q231,R231)</f>
        <v>3</v>
      </c>
      <c r="T231" s="21" t="s">
        <v>37</v>
      </c>
      <c r="U231" s="21" t="s">
        <v>37</v>
      </c>
      <c r="V231" s="20" t="s">
        <v>102</v>
      </c>
      <c r="W231" s="22">
        <v>0</v>
      </c>
      <c r="X231" s="20" t="str">
        <f>IF(OR(V231="Completada",V231="No aplica"),"VERDE",IF(V231="Bloqueada","ROJO",IF(R231&lt;TODAY(),"ROJO",IF(AND(R231-TODAY()&lt;=7,W231&lt;1),"AMARILLO","GRIS"))))</f>
        <v>GRIS</v>
      </c>
      <c r="Y231" s="20" t="s">
        <v>37</v>
      </c>
    </row>
    <row r="232" ht="46" customHeight="1" spans="1:25" x14ac:dyDescent="0.25">
      <c r="A232" s="17" t="s">
        <v>1676</v>
      </c>
      <c r="B232" s="17" t="s">
        <v>1620</v>
      </c>
      <c r="C232" s="17" t="s">
        <v>59</v>
      </c>
      <c r="D232" s="17" t="s">
        <v>1677</v>
      </c>
      <c r="E232" s="17" t="s">
        <v>1678</v>
      </c>
      <c r="F232" s="17" t="s">
        <v>1679</v>
      </c>
      <c r="G232" s="17" t="s">
        <v>1680</v>
      </c>
      <c r="H232" s="17" t="s">
        <v>1681</v>
      </c>
      <c r="I232" s="17" t="s">
        <v>96</v>
      </c>
      <c r="J232" s="17" t="s">
        <v>97</v>
      </c>
      <c r="K232" s="17" t="s">
        <v>232</v>
      </c>
      <c r="L232" s="17" t="s">
        <v>1682</v>
      </c>
      <c r="M232" s="17" t="s">
        <v>37</v>
      </c>
      <c r="N232" s="17" t="s">
        <v>100</v>
      </c>
      <c r="O232" s="17" t="s">
        <v>101</v>
      </c>
      <c r="P232" s="17">
        <v>2</v>
      </c>
      <c r="Q232" s="18">
        <v>46427.75</v>
      </c>
      <c r="R232" s="18">
        <v>46430.75</v>
      </c>
      <c r="S232" s="17">
        <f>NETWORKDAYS(Q232,R232)</f>
        <v>4</v>
      </c>
      <c r="T232" s="18" t="s">
        <v>37</v>
      </c>
      <c r="U232" s="18" t="s">
        <v>37</v>
      </c>
      <c r="V232" s="17" t="s">
        <v>102</v>
      </c>
      <c r="W232" s="19">
        <v>0</v>
      </c>
      <c r="X232" s="17" t="str">
        <f>IF(OR(V232="Completada",V232="No aplica"),"VERDE",IF(V232="Bloqueada","ROJO",IF(R232&lt;TODAY(),"ROJO",IF(AND(R232-TODAY()&lt;=7,W232&lt;1),"AMARILLO","GRIS"))))</f>
        <v>GRIS</v>
      </c>
      <c r="Y232" s="17" t="s">
        <v>37</v>
      </c>
    </row>
    <row r="233" ht="46" customHeight="1" spans="1:25" x14ac:dyDescent="0.25">
      <c r="A233" s="20" t="s">
        <v>1683</v>
      </c>
      <c r="B233" s="20" t="s">
        <v>1620</v>
      </c>
      <c r="C233" s="20" t="s">
        <v>59</v>
      </c>
      <c r="D233" s="20" t="s">
        <v>1684</v>
      </c>
      <c r="E233" s="20" t="s">
        <v>1685</v>
      </c>
      <c r="F233" s="20" t="s">
        <v>1686</v>
      </c>
      <c r="G233" s="20" t="s">
        <v>1687</v>
      </c>
      <c r="H233" s="20" t="s">
        <v>1688</v>
      </c>
      <c r="I233" s="20" t="s">
        <v>96</v>
      </c>
      <c r="J233" s="20" t="s">
        <v>97</v>
      </c>
      <c r="K233" s="20" t="s">
        <v>232</v>
      </c>
      <c r="L233" s="20" t="s">
        <v>1682</v>
      </c>
      <c r="M233" s="20" t="s">
        <v>1676</v>
      </c>
      <c r="N233" s="20" t="s">
        <v>1689</v>
      </c>
      <c r="O233" s="20" t="s">
        <v>101</v>
      </c>
      <c r="P233" s="20">
        <v>2</v>
      </c>
      <c r="Q233" s="21">
        <v>46433.75</v>
      </c>
      <c r="R233" s="21">
        <v>46435.75</v>
      </c>
      <c r="S233" s="20">
        <f>NETWORKDAYS(Q233,R233)</f>
        <v>3</v>
      </c>
      <c r="T233" s="21" t="s">
        <v>37</v>
      </c>
      <c r="U233" s="21" t="s">
        <v>37</v>
      </c>
      <c r="V233" s="20" t="s">
        <v>102</v>
      </c>
      <c r="W233" s="22">
        <v>0</v>
      </c>
      <c r="X233" s="20" t="str">
        <f>IF(OR(V233="Completada",V233="No aplica"),"VERDE",IF(V233="Bloqueada","ROJO",IF(R233&lt;TODAY(),"ROJO",IF(AND(R233-TODAY()&lt;=7,W233&lt;1),"AMARILLO","GRIS"))))</f>
        <v>GRIS</v>
      </c>
      <c r="Y233" s="20" t="s">
        <v>37</v>
      </c>
    </row>
    <row r="234" ht="46" customHeight="1" spans="1:25" x14ac:dyDescent="0.25">
      <c r="A234" s="17" t="s">
        <v>1690</v>
      </c>
      <c r="B234" s="17" t="s">
        <v>1620</v>
      </c>
      <c r="C234" s="17" t="s">
        <v>59</v>
      </c>
      <c r="D234" s="17" t="s">
        <v>1691</v>
      </c>
      <c r="E234" s="17" t="s">
        <v>1692</v>
      </c>
      <c r="F234" s="17" t="s">
        <v>1693</v>
      </c>
      <c r="G234" s="17" t="s">
        <v>1694</v>
      </c>
      <c r="H234" s="17" t="s">
        <v>1695</v>
      </c>
      <c r="I234" s="17" t="s">
        <v>96</v>
      </c>
      <c r="J234" s="17" t="s">
        <v>97</v>
      </c>
      <c r="K234" s="17" t="s">
        <v>232</v>
      </c>
      <c r="L234" s="17" t="s">
        <v>1682</v>
      </c>
      <c r="M234" s="17" t="s">
        <v>1683</v>
      </c>
      <c r="N234" s="17" t="s">
        <v>1696</v>
      </c>
      <c r="O234" s="17" t="s">
        <v>117</v>
      </c>
      <c r="P234" s="17">
        <v>1</v>
      </c>
      <c r="Q234" s="18">
        <v>46436.75</v>
      </c>
      <c r="R234" s="18">
        <v>46440.75</v>
      </c>
      <c r="S234" s="17">
        <f>NETWORKDAYS(Q234,R234)</f>
        <v>3</v>
      </c>
      <c r="T234" s="18" t="s">
        <v>37</v>
      </c>
      <c r="U234" s="18" t="s">
        <v>37</v>
      </c>
      <c r="V234" s="17" t="s">
        <v>102</v>
      </c>
      <c r="W234" s="19">
        <v>0</v>
      </c>
      <c r="X234" s="17" t="str">
        <f>IF(OR(V234="Completada",V234="No aplica"),"VERDE",IF(V234="Bloqueada","ROJO",IF(R234&lt;TODAY(),"ROJO",IF(AND(R234-TODAY()&lt;=7,W234&lt;1),"AMARILLO","GRIS"))))</f>
        <v>GRIS</v>
      </c>
      <c r="Y234" s="17" t="s">
        <v>37</v>
      </c>
    </row>
    <row r="235" ht="46" customHeight="1" spans="1:25" x14ac:dyDescent="0.25">
      <c r="A235" s="20" t="s">
        <v>1697</v>
      </c>
      <c r="B235" s="20" t="s">
        <v>1620</v>
      </c>
      <c r="C235" s="20" t="s">
        <v>59</v>
      </c>
      <c r="D235" s="20" t="s">
        <v>1698</v>
      </c>
      <c r="E235" s="20" t="s">
        <v>1699</v>
      </c>
      <c r="F235" s="20" t="s">
        <v>1700</v>
      </c>
      <c r="G235" s="20" t="s">
        <v>1701</v>
      </c>
      <c r="H235" s="20" t="s">
        <v>1702</v>
      </c>
      <c r="I235" s="20" t="s">
        <v>96</v>
      </c>
      <c r="J235" s="20" t="s">
        <v>97</v>
      </c>
      <c r="K235" s="20" t="s">
        <v>232</v>
      </c>
      <c r="L235" s="20" t="s">
        <v>1682</v>
      </c>
      <c r="M235" s="20" t="s">
        <v>1690</v>
      </c>
      <c r="N235" s="20" t="s">
        <v>1703</v>
      </c>
      <c r="O235" s="20" t="s">
        <v>117</v>
      </c>
      <c r="P235" s="20">
        <v>1</v>
      </c>
      <c r="Q235" s="21">
        <v>46441.75</v>
      </c>
      <c r="R235" s="21">
        <v>46444.75</v>
      </c>
      <c r="S235" s="20">
        <f>NETWORKDAYS(Q235,R235)</f>
        <v>4</v>
      </c>
      <c r="T235" s="21" t="s">
        <v>37</v>
      </c>
      <c r="U235" s="21" t="s">
        <v>37</v>
      </c>
      <c r="V235" s="20" t="s">
        <v>102</v>
      </c>
      <c r="W235" s="22">
        <v>0</v>
      </c>
      <c r="X235" s="20" t="str">
        <f>IF(OR(V235="Completada",V235="No aplica"),"VERDE",IF(V235="Bloqueada","ROJO",IF(R235&lt;TODAY(),"ROJO",IF(AND(R235-TODAY()&lt;=7,W235&lt;1),"AMARILLO","GRIS"))))</f>
        <v>GRIS</v>
      </c>
      <c r="Y235" s="20" t="s">
        <v>37</v>
      </c>
    </row>
    <row r="236" ht="46" customHeight="1" spans="1:25" x14ac:dyDescent="0.25">
      <c r="A236" s="17" t="s">
        <v>1704</v>
      </c>
      <c r="B236" s="17" t="s">
        <v>1620</v>
      </c>
      <c r="C236" s="17" t="s">
        <v>59</v>
      </c>
      <c r="D236" s="17" t="s">
        <v>1705</v>
      </c>
      <c r="E236" s="17" t="s">
        <v>1706</v>
      </c>
      <c r="F236" s="17" t="s">
        <v>1707</v>
      </c>
      <c r="G236" s="17" t="s">
        <v>1708</v>
      </c>
      <c r="H236" s="17" t="s">
        <v>1709</v>
      </c>
      <c r="I236" s="17" t="s">
        <v>96</v>
      </c>
      <c r="J236" s="17" t="s">
        <v>97</v>
      </c>
      <c r="K236" s="17" t="s">
        <v>232</v>
      </c>
      <c r="L236" s="17" t="s">
        <v>1682</v>
      </c>
      <c r="M236" s="17" t="s">
        <v>1697</v>
      </c>
      <c r="N236" s="17" t="s">
        <v>1710</v>
      </c>
      <c r="O236" s="17" t="s">
        <v>117</v>
      </c>
      <c r="P236" s="17">
        <v>1</v>
      </c>
      <c r="Q236" s="18">
        <v>46447.75</v>
      </c>
      <c r="R236" s="18">
        <v>46449.75</v>
      </c>
      <c r="S236" s="17">
        <f>NETWORKDAYS(Q236,R236)</f>
        <v>3</v>
      </c>
      <c r="T236" s="18" t="s">
        <v>37</v>
      </c>
      <c r="U236" s="18" t="s">
        <v>37</v>
      </c>
      <c r="V236" s="17" t="s">
        <v>102</v>
      </c>
      <c r="W236" s="19">
        <v>0</v>
      </c>
      <c r="X236" s="17" t="str">
        <f>IF(OR(V236="Completada",V236="No aplica"),"VERDE",IF(V236="Bloqueada","ROJO",IF(R236&lt;TODAY(),"ROJO",IF(AND(R236-TODAY()&lt;=7,W236&lt;1),"AMARILLO","GRIS"))))</f>
        <v>GRIS</v>
      </c>
      <c r="Y236" s="17" t="s">
        <v>37</v>
      </c>
    </row>
    <row r="237" ht="46" customHeight="1" spans="1:25" x14ac:dyDescent="0.25">
      <c r="A237" s="20" t="s">
        <v>1711</v>
      </c>
      <c r="B237" s="20" t="s">
        <v>1620</v>
      </c>
      <c r="C237" s="20" t="s">
        <v>59</v>
      </c>
      <c r="D237" s="20" t="s">
        <v>1712</v>
      </c>
      <c r="E237" s="20" t="s">
        <v>1713</v>
      </c>
      <c r="F237" s="20" t="s">
        <v>1714</v>
      </c>
      <c r="G237" s="20" t="s">
        <v>1715</v>
      </c>
      <c r="H237" s="20" t="s">
        <v>1716</v>
      </c>
      <c r="I237" s="20" t="s">
        <v>96</v>
      </c>
      <c r="J237" s="20" t="s">
        <v>97</v>
      </c>
      <c r="K237" s="20" t="s">
        <v>232</v>
      </c>
      <c r="L237" s="20" t="s">
        <v>1682</v>
      </c>
      <c r="M237" s="20" t="s">
        <v>1704</v>
      </c>
      <c r="N237" s="20" t="s">
        <v>1717</v>
      </c>
      <c r="O237" s="20" t="s">
        <v>117</v>
      </c>
      <c r="P237" s="20">
        <v>1</v>
      </c>
      <c r="Q237" s="21">
        <v>46450.75</v>
      </c>
      <c r="R237" s="21">
        <v>46454.75</v>
      </c>
      <c r="S237" s="20">
        <f>NETWORKDAYS(Q237,R237)</f>
        <v>3</v>
      </c>
      <c r="T237" s="21" t="s">
        <v>37</v>
      </c>
      <c r="U237" s="21" t="s">
        <v>37</v>
      </c>
      <c r="V237" s="20" t="s">
        <v>102</v>
      </c>
      <c r="W237" s="22">
        <v>0</v>
      </c>
      <c r="X237" s="20" t="str">
        <f>IF(OR(V237="Completada",V237="No aplica"),"VERDE",IF(V237="Bloqueada","ROJO",IF(R237&lt;TODAY(),"ROJO",IF(AND(R237-TODAY()&lt;=7,W237&lt;1),"AMARILLO","GRIS"))))</f>
        <v>GRIS</v>
      </c>
      <c r="Y237" s="20" t="s">
        <v>37</v>
      </c>
    </row>
    <row r="238" ht="46" customHeight="1" spans="1:25" x14ac:dyDescent="0.25">
      <c r="A238" s="17" t="s">
        <v>1718</v>
      </c>
      <c r="B238" s="17" t="s">
        <v>1620</v>
      </c>
      <c r="C238" s="17" t="s">
        <v>59</v>
      </c>
      <c r="D238" s="17" t="s">
        <v>1719</v>
      </c>
      <c r="E238" s="17" t="s">
        <v>1720</v>
      </c>
      <c r="F238" s="17" t="s">
        <v>1721</v>
      </c>
      <c r="G238" s="17" t="s">
        <v>1722</v>
      </c>
      <c r="H238" s="17" t="s">
        <v>1723</v>
      </c>
      <c r="I238" s="17" t="s">
        <v>96</v>
      </c>
      <c r="J238" s="17" t="s">
        <v>97</v>
      </c>
      <c r="K238" s="17" t="s">
        <v>232</v>
      </c>
      <c r="L238" s="17" t="s">
        <v>1682</v>
      </c>
      <c r="M238" s="17" t="s">
        <v>1711</v>
      </c>
      <c r="N238" s="17" t="s">
        <v>1724</v>
      </c>
      <c r="O238" s="17" t="s">
        <v>117</v>
      </c>
      <c r="P238" s="17">
        <v>1</v>
      </c>
      <c r="Q238" s="18">
        <v>46455.75</v>
      </c>
      <c r="R238" s="18">
        <v>46458.75</v>
      </c>
      <c r="S238" s="17">
        <f>NETWORKDAYS(Q238,R238)</f>
        <v>4</v>
      </c>
      <c r="T238" s="18" t="s">
        <v>37</v>
      </c>
      <c r="U238" s="18" t="s">
        <v>37</v>
      </c>
      <c r="V238" s="17" t="s">
        <v>102</v>
      </c>
      <c r="W238" s="19">
        <v>0</v>
      </c>
      <c r="X238" s="17" t="str">
        <f>IF(OR(V238="Completada",V238="No aplica"),"VERDE",IF(V238="Bloqueada","ROJO",IF(R238&lt;TODAY(),"ROJO",IF(AND(R238-TODAY()&lt;=7,W238&lt;1),"AMARILLO","GRIS"))))</f>
        <v>GRIS</v>
      </c>
      <c r="Y238" s="17" t="s">
        <v>37</v>
      </c>
    </row>
    <row r="239" ht="46" customHeight="1" spans="1:25" x14ac:dyDescent="0.25">
      <c r="A239" s="20" t="s">
        <v>1725</v>
      </c>
      <c r="B239" s="20" t="s">
        <v>1620</v>
      </c>
      <c r="C239" s="20" t="s">
        <v>59</v>
      </c>
      <c r="D239" s="20" t="s">
        <v>1726</v>
      </c>
      <c r="E239" s="20" t="s">
        <v>1727</v>
      </c>
      <c r="F239" s="20" t="s">
        <v>1728</v>
      </c>
      <c r="G239" s="20" t="s">
        <v>1729</v>
      </c>
      <c r="H239" s="20" t="s">
        <v>1730</v>
      </c>
      <c r="I239" s="20" t="s">
        <v>96</v>
      </c>
      <c r="J239" s="20" t="s">
        <v>97</v>
      </c>
      <c r="K239" s="20" t="s">
        <v>232</v>
      </c>
      <c r="L239" s="20" t="s">
        <v>1682</v>
      </c>
      <c r="M239" s="20" t="s">
        <v>1718</v>
      </c>
      <c r="N239" s="20" t="s">
        <v>1731</v>
      </c>
      <c r="O239" s="20" t="s">
        <v>117</v>
      </c>
      <c r="P239" s="20">
        <v>1</v>
      </c>
      <c r="Q239" s="21">
        <v>46461.75</v>
      </c>
      <c r="R239" s="21">
        <v>46463.75</v>
      </c>
      <c r="S239" s="20">
        <f>NETWORKDAYS(Q239,R239)</f>
        <v>3</v>
      </c>
      <c r="T239" s="21" t="s">
        <v>37</v>
      </c>
      <c r="U239" s="21" t="s">
        <v>37</v>
      </c>
      <c r="V239" s="20" t="s">
        <v>102</v>
      </c>
      <c r="W239" s="22">
        <v>0</v>
      </c>
      <c r="X239" s="20" t="str">
        <f>IF(OR(V239="Completada",V239="No aplica"),"VERDE",IF(V239="Bloqueada","ROJO",IF(R239&lt;TODAY(),"ROJO",IF(AND(R239-TODAY()&lt;=7,W239&lt;1),"AMARILLO","GRIS"))))</f>
        <v>GRIS</v>
      </c>
      <c r="Y239" s="20" t="s">
        <v>37</v>
      </c>
    </row>
    <row r="240" ht="46" customHeight="1" spans="1:25" x14ac:dyDescent="0.25">
      <c r="A240" s="17" t="s">
        <v>1732</v>
      </c>
      <c r="B240" s="17" t="s">
        <v>1620</v>
      </c>
      <c r="C240" s="17" t="s">
        <v>59</v>
      </c>
      <c r="D240" s="17" t="s">
        <v>1733</v>
      </c>
      <c r="E240" s="17" t="s">
        <v>1734</v>
      </c>
      <c r="F240" s="17" t="s">
        <v>1735</v>
      </c>
      <c r="G240" s="17" t="s">
        <v>1736</v>
      </c>
      <c r="H240" s="17" t="s">
        <v>1737</v>
      </c>
      <c r="I240" s="17" t="s">
        <v>96</v>
      </c>
      <c r="J240" s="17" t="s">
        <v>97</v>
      </c>
      <c r="K240" s="17" t="s">
        <v>232</v>
      </c>
      <c r="L240" s="17" t="s">
        <v>1682</v>
      </c>
      <c r="M240" s="17" t="s">
        <v>1725</v>
      </c>
      <c r="N240" s="17" t="s">
        <v>1738</v>
      </c>
      <c r="O240" s="17" t="s">
        <v>117</v>
      </c>
      <c r="P240" s="17">
        <v>1</v>
      </c>
      <c r="Q240" s="18">
        <v>46464.75</v>
      </c>
      <c r="R240" s="18">
        <v>46468.75</v>
      </c>
      <c r="S240" s="17">
        <f>NETWORKDAYS(Q240,R240)</f>
        <v>3</v>
      </c>
      <c r="T240" s="18" t="s">
        <v>37</v>
      </c>
      <c r="U240" s="18" t="s">
        <v>37</v>
      </c>
      <c r="V240" s="17" t="s">
        <v>102</v>
      </c>
      <c r="W240" s="19">
        <v>0</v>
      </c>
      <c r="X240" s="17" t="str">
        <f>IF(OR(V240="Completada",V240="No aplica"),"VERDE",IF(V240="Bloqueada","ROJO",IF(R240&lt;TODAY(),"ROJO",IF(AND(R240-TODAY()&lt;=7,W240&lt;1),"AMARILLO","GRIS"))))</f>
        <v>GRIS</v>
      </c>
      <c r="Y240" s="17" t="s">
        <v>37</v>
      </c>
    </row>
    <row r="241" ht="46" customHeight="1" spans="1:25" x14ac:dyDescent="0.25">
      <c r="A241" s="20" t="s">
        <v>1739</v>
      </c>
      <c r="B241" s="20" t="s">
        <v>1620</v>
      </c>
      <c r="C241" s="20" t="s">
        <v>59</v>
      </c>
      <c r="D241" s="20" t="s">
        <v>1740</v>
      </c>
      <c r="E241" s="20" t="s">
        <v>1741</v>
      </c>
      <c r="F241" s="20" t="s">
        <v>1742</v>
      </c>
      <c r="G241" s="20" t="s">
        <v>1743</v>
      </c>
      <c r="H241" s="20" t="s">
        <v>1744</v>
      </c>
      <c r="I241" s="20" t="s">
        <v>96</v>
      </c>
      <c r="J241" s="20" t="s">
        <v>97</v>
      </c>
      <c r="K241" s="20" t="s">
        <v>232</v>
      </c>
      <c r="L241" s="20" t="s">
        <v>1682</v>
      </c>
      <c r="M241" s="20" t="s">
        <v>1732</v>
      </c>
      <c r="N241" s="20" t="s">
        <v>1745</v>
      </c>
      <c r="O241" s="20" t="s">
        <v>117</v>
      </c>
      <c r="P241" s="20">
        <v>1</v>
      </c>
      <c r="Q241" s="21">
        <v>46469.75</v>
      </c>
      <c r="R241" s="21">
        <v>46472.75</v>
      </c>
      <c r="S241" s="20">
        <f>NETWORKDAYS(Q241,R241)</f>
        <v>4</v>
      </c>
      <c r="T241" s="21" t="s">
        <v>37</v>
      </c>
      <c r="U241" s="21" t="s">
        <v>37</v>
      </c>
      <c r="V241" s="20" t="s">
        <v>102</v>
      </c>
      <c r="W241" s="22">
        <v>0</v>
      </c>
      <c r="X241" s="20" t="str">
        <f>IF(OR(V241="Completada",V241="No aplica"),"VERDE",IF(V241="Bloqueada","ROJO",IF(R241&lt;TODAY(),"ROJO",IF(AND(R241-TODAY()&lt;=7,W241&lt;1),"AMARILLO","GRIS"))))</f>
        <v>GRIS</v>
      </c>
      <c r="Y241" s="20" t="s">
        <v>37</v>
      </c>
    </row>
    <row r="242" ht="46" customHeight="1" spans="1:25" x14ac:dyDescent="0.25">
      <c r="A242" s="17" t="s">
        <v>1746</v>
      </c>
      <c r="B242" s="17" t="s">
        <v>1620</v>
      </c>
      <c r="C242" s="17" t="s">
        <v>59</v>
      </c>
      <c r="D242" s="17" t="s">
        <v>1747</v>
      </c>
      <c r="E242" s="17" t="s">
        <v>1748</v>
      </c>
      <c r="F242" s="17" t="s">
        <v>1749</v>
      </c>
      <c r="G242" s="17" t="s">
        <v>1750</v>
      </c>
      <c r="H242" s="17" t="s">
        <v>1751</v>
      </c>
      <c r="I242" s="17" t="s">
        <v>96</v>
      </c>
      <c r="J242" s="17" t="s">
        <v>97</v>
      </c>
      <c r="K242" s="17" t="s">
        <v>232</v>
      </c>
      <c r="L242" s="17" t="s">
        <v>1682</v>
      </c>
      <c r="M242" s="17" t="s">
        <v>1739</v>
      </c>
      <c r="N242" s="17" t="s">
        <v>1752</v>
      </c>
      <c r="O242" s="17" t="s">
        <v>101</v>
      </c>
      <c r="P242" s="17">
        <v>2</v>
      </c>
      <c r="Q242" s="18">
        <v>46475.75</v>
      </c>
      <c r="R242" s="18">
        <v>46477.75</v>
      </c>
      <c r="S242" s="17">
        <f>NETWORKDAYS(Q242,R242)</f>
        <v>3</v>
      </c>
      <c r="T242" s="18" t="s">
        <v>37</v>
      </c>
      <c r="U242" s="18" t="s">
        <v>37</v>
      </c>
      <c r="V242" s="17" t="s">
        <v>102</v>
      </c>
      <c r="W242" s="19">
        <v>0</v>
      </c>
      <c r="X242" s="17" t="str">
        <f>IF(OR(V242="Completada",V242="No aplica"),"VERDE",IF(V242="Bloqueada","ROJO",IF(R242&lt;TODAY(),"ROJO",IF(AND(R242-TODAY()&lt;=7,W242&lt;1),"AMARILLO","GRIS"))))</f>
        <v>GRIS</v>
      </c>
      <c r="Y242" s="17" t="s">
        <v>37</v>
      </c>
    </row>
    <row r="243" ht="46" customHeight="1" spans="1:25" x14ac:dyDescent="0.25">
      <c r="A243" s="20" t="s">
        <v>1753</v>
      </c>
      <c r="B243" s="20" t="s">
        <v>1620</v>
      </c>
      <c r="C243" s="20" t="s">
        <v>59</v>
      </c>
      <c r="D243" s="20" t="s">
        <v>1754</v>
      </c>
      <c r="E243" s="20" t="s">
        <v>1755</v>
      </c>
      <c r="F243" s="20" t="s">
        <v>1756</v>
      </c>
      <c r="G243" s="20" t="s">
        <v>1757</v>
      </c>
      <c r="H243" s="20" t="s">
        <v>1758</v>
      </c>
      <c r="I243" s="20" t="s">
        <v>96</v>
      </c>
      <c r="J243" s="20" t="s">
        <v>97</v>
      </c>
      <c r="K243" s="20" t="s">
        <v>232</v>
      </c>
      <c r="L243" s="20" t="s">
        <v>1682</v>
      </c>
      <c r="M243" s="20" t="s">
        <v>1746</v>
      </c>
      <c r="N243" s="20" t="s">
        <v>1759</v>
      </c>
      <c r="O243" s="20" t="s">
        <v>168</v>
      </c>
      <c r="P243" s="20">
        <v>3</v>
      </c>
      <c r="Q243" s="21">
        <v>46478.75</v>
      </c>
      <c r="R243" s="21">
        <v>46484.75</v>
      </c>
      <c r="S243" s="20">
        <f>NETWORKDAYS(Q243,R243)</f>
        <v>5</v>
      </c>
      <c r="T243" s="21" t="s">
        <v>37</v>
      </c>
      <c r="U243" s="21" t="s">
        <v>37</v>
      </c>
      <c r="V243" s="20" t="s">
        <v>102</v>
      </c>
      <c r="W243" s="22">
        <v>0</v>
      </c>
      <c r="X243" s="20" t="str">
        <f>IF(OR(V243="Completada",V243="No aplica"),"VERDE",IF(V243="Bloqueada","ROJO",IF(R243&lt;TODAY(),"ROJO",IF(AND(R243-TODAY()&lt;=7,W243&lt;1),"AMARILLO","GRIS"))))</f>
        <v>GRIS</v>
      </c>
      <c r="Y243" s="20" t="s">
        <v>37</v>
      </c>
    </row>
    <row r="244" ht="46" customHeight="1" spans="1:25" x14ac:dyDescent="0.25">
      <c r="A244" s="17" t="s">
        <v>1760</v>
      </c>
      <c r="B244" s="17" t="s">
        <v>1620</v>
      </c>
      <c r="C244" s="17" t="s">
        <v>59</v>
      </c>
      <c r="D244" s="17" t="s">
        <v>1761</v>
      </c>
      <c r="E244" s="17" t="s">
        <v>1762</v>
      </c>
      <c r="F244" s="17" t="s">
        <v>1763</v>
      </c>
      <c r="G244" s="17" t="s">
        <v>1764</v>
      </c>
      <c r="H244" s="17" t="s">
        <v>1765</v>
      </c>
      <c r="I244" s="17" t="s">
        <v>96</v>
      </c>
      <c r="J244" s="17" t="s">
        <v>97</v>
      </c>
      <c r="K244" s="17" t="s">
        <v>232</v>
      </c>
      <c r="L244" s="17" t="s">
        <v>1682</v>
      </c>
      <c r="M244" s="17" t="s">
        <v>1753</v>
      </c>
      <c r="N244" s="17" t="s">
        <v>1766</v>
      </c>
      <c r="O244" s="17" t="s">
        <v>117</v>
      </c>
      <c r="P244" s="17">
        <v>1</v>
      </c>
      <c r="Q244" s="18">
        <v>46485.75</v>
      </c>
      <c r="R244" s="18">
        <v>46490.75</v>
      </c>
      <c r="S244" s="17">
        <f>NETWORKDAYS(Q244,R244)</f>
        <v>4</v>
      </c>
      <c r="T244" s="18" t="s">
        <v>37</v>
      </c>
      <c r="U244" s="18" t="s">
        <v>37</v>
      </c>
      <c r="V244" s="17" t="s">
        <v>102</v>
      </c>
      <c r="W244" s="19">
        <v>0</v>
      </c>
      <c r="X244" s="17" t="str">
        <f>IF(OR(V244="Completada",V244="No aplica"),"VERDE",IF(V244="Bloqueada","ROJO",IF(R244&lt;TODAY(),"ROJO",IF(AND(R244-TODAY()&lt;=7,W244&lt;1),"AMARILLO","GRIS"))))</f>
        <v>GRIS</v>
      </c>
      <c r="Y244" s="17" t="s">
        <v>37</v>
      </c>
    </row>
    <row r="245" ht="46" customHeight="1" spans="1:25" x14ac:dyDescent="0.25">
      <c r="A245" s="20" t="s">
        <v>1767</v>
      </c>
      <c r="B245" s="20" t="s">
        <v>1620</v>
      </c>
      <c r="C245" s="20" t="s">
        <v>59</v>
      </c>
      <c r="D245" s="20" t="s">
        <v>1768</v>
      </c>
      <c r="E245" s="20" t="s">
        <v>1769</v>
      </c>
      <c r="F245" s="20" t="s">
        <v>1770</v>
      </c>
      <c r="G245" s="20" t="s">
        <v>1771</v>
      </c>
      <c r="H245" s="20" t="s">
        <v>1772</v>
      </c>
      <c r="I245" s="20" t="s">
        <v>96</v>
      </c>
      <c r="J245" s="20" t="s">
        <v>97</v>
      </c>
      <c r="K245" s="20" t="s">
        <v>232</v>
      </c>
      <c r="L245" s="20" t="s">
        <v>1682</v>
      </c>
      <c r="M245" s="20" t="s">
        <v>1760</v>
      </c>
      <c r="N245" s="20" t="s">
        <v>1773</v>
      </c>
      <c r="O245" s="20" t="s">
        <v>101</v>
      </c>
      <c r="P245" s="20">
        <v>2</v>
      </c>
      <c r="Q245" s="21">
        <v>46491.75</v>
      </c>
      <c r="R245" s="21">
        <v>46493.75</v>
      </c>
      <c r="S245" s="20">
        <f>NETWORKDAYS(Q245,R245)</f>
        <v>3</v>
      </c>
      <c r="T245" s="21" t="s">
        <v>37</v>
      </c>
      <c r="U245" s="21" t="s">
        <v>37</v>
      </c>
      <c r="V245" s="20" t="s">
        <v>102</v>
      </c>
      <c r="W245" s="22">
        <v>0</v>
      </c>
      <c r="X245" s="20" t="str">
        <f>IF(OR(V245="Completada",V245="No aplica"),"VERDE",IF(V245="Bloqueada","ROJO",IF(R245&lt;TODAY(),"ROJO",IF(AND(R245-TODAY()&lt;=7,W245&lt;1),"AMARILLO","GRIS"))))</f>
        <v>GRIS</v>
      </c>
      <c r="Y245" s="20" t="s">
        <v>37</v>
      </c>
    </row>
    <row r="246" ht="46" customHeight="1" spans="1:25" x14ac:dyDescent="0.25">
      <c r="A246" s="17" t="s">
        <v>1774</v>
      </c>
      <c r="B246" s="17" t="s">
        <v>1620</v>
      </c>
      <c r="C246" s="17" t="s">
        <v>59</v>
      </c>
      <c r="D246" s="17" t="s">
        <v>1508</v>
      </c>
      <c r="E246" s="17" t="s">
        <v>1775</v>
      </c>
      <c r="F246" s="17" t="s">
        <v>1776</v>
      </c>
      <c r="G246" s="17" t="s">
        <v>1511</v>
      </c>
      <c r="H246" s="17" t="s">
        <v>1777</v>
      </c>
      <c r="I246" s="17" t="s">
        <v>96</v>
      </c>
      <c r="J246" s="17" t="s">
        <v>97</v>
      </c>
      <c r="K246" s="17" t="s">
        <v>232</v>
      </c>
      <c r="L246" s="17" t="s">
        <v>1682</v>
      </c>
      <c r="M246" s="17" t="s">
        <v>1767</v>
      </c>
      <c r="N246" s="17" t="s">
        <v>1778</v>
      </c>
      <c r="O246" s="17" t="s">
        <v>101</v>
      </c>
      <c r="P246" s="17">
        <v>2</v>
      </c>
      <c r="Q246" s="18">
        <v>46496.75</v>
      </c>
      <c r="R246" s="18">
        <v>46498.75</v>
      </c>
      <c r="S246" s="17">
        <f>NETWORKDAYS(Q246,R246)</f>
        <v>3</v>
      </c>
      <c r="T246" s="18" t="s">
        <v>37</v>
      </c>
      <c r="U246" s="18" t="s">
        <v>37</v>
      </c>
      <c r="V246" s="17" t="s">
        <v>102</v>
      </c>
      <c r="W246" s="19">
        <v>0</v>
      </c>
      <c r="X246" s="17" t="str">
        <f>IF(OR(V246="Completada",V246="No aplica"),"VERDE",IF(V246="Bloqueada","ROJO",IF(R246&lt;TODAY(),"ROJO",IF(AND(R246-TODAY()&lt;=7,W246&lt;1),"AMARILLO","GRIS"))))</f>
        <v>GRIS</v>
      </c>
      <c r="Y246" s="17" t="s">
        <v>37</v>
      </c>
    </row>
    <row r="247" ht="46" customHeight="1" spans="1:25" x14ac:dyDescent="0.25">
      <c r="A247" s="20" t="s">
        <v>1779</v>
      </c>
      <c r="B247" s="20" t="s">
        <v>1620</v>
      </c>
      <c r="C247" s="20" t="s">
        <v>59</v>
      </c>
      <c r="D247" s="20" t="s">
        <v>1780</v>
      </c>
      <c r="E247" s="20" t="s">
        <v>1781</v>
      </c>
      <c r="F247" s="20" t="s">
        <v>1782</v>
      </c>
      <c r="G247" s="20" t="s">
        <v>1783</v>
      </c>
      <c r="H247" s="20" t="s">
        <v>1784</v>
      </c>
      <c r="I247" s="20" t="s">
        <v>96</v>
      </c>
      <c r="J247" s="20" t="s">
        <v>97</v>
      </c>
      <c r="K247" s="20" t="s">
        <v>232</v>
      </c>
      <c r="L247" s="20" t="s">
        <v>1682</v>
      </c>
      <c r="M247" s="20" t="s">
        <v>1774</v>
      </c>
      <c r="N247" s="20" t="s">
        <v>1785</v>
      </c>
      <c r="O247" s="20" t="s">
        <v>101</v>
      </c>
      <c r="P247" s="20">
        <v>2</v>
      </c>
      <c r="Q247" s="21">
        <v>46499.75</v>
      </c>
      <c r="R247" s="21">
        <v>46504.75</v>
      </c>
      <c r="S247" s="20">
        <f>NETWORKDAYS(Q247,R247)</f>
        <v>4</v>
      </c>
      <c r="T247" s="21" t="s">
        <v>37</v>
      </c>
      <c r="U247" s="21" t="s">
        <v>37</v>
      </c>
      <c r="V247" s="20" t="s">
        <v>102</v>
      </c>
      <c r="W247" s="22">
        <v>0</v>
      </c>
      <c r="X247" s="20" t="str">
        <f>IF(OR(V247="Completada",V247="No aplica"),"VERDE",IF(V247="Bloqueada","ROJO",IF(R247&lt;TODAY(),"ROJO",IF(AND(R247-TODAY()&lt;=7,W247&lt;1),"AMARILLO","GRIS"))))</f>
        <v>GRIS</v>
      </c>
      <c r="Y247" s="20" t="s">
        <v>37</v>
      </c>
    </row>
    <row r="248" ht="46" customHeight="1" spans="1:25" x14ac:dyDescent="0.25">
      <c r="A248" s="17" t="s">
        <v>1786</v>
      </c>
      <c r="B248" s="17" t="s">
        <v>1620</v>
      </c>
      <c r="C248" s="17" t="s">
        <v>59</v>
      </c>
      <c r="D248" s="17" t="s">
        <v>1787</v>
      </c>
      <c r="E248" s="17" t="s">
        <v>1788</v>
      </c>
      <c r="F248" s="17" t="s">
        <v>1789</v>
      </c>
      <c r="G248" s="17" t="s">
        <v>1790</v>
      </c>
      <c r="H248" s="17" t="s">
        <v>1791</v>
      </c>
      <c r="I248" s="17" t="s">
        <v>96</v>
      </c>
      <c r="J248" s="17" t="s">
        <v>97</v>
      </c>
      <c r="K248" s="17" t="s">
        <v>232</v>
      </c>
      <c r="L248" s="17" t="s">
        <v>1682</v>
      </c>
      <c r="M248" s="17" t="s">
        <v>1779</v>
      </c>
      <c r="N248" s="17" t="s">
        <v>1792</v>
      </c>
      <c r="O248" s="17" t="s">
        <v>101</v>
      </c>
      <c r="P248" s="17">
        <v>2</v>
      </c>
      <c r="Q248" s="18">
        <v>46505.75</v>
      </c>
      <c r="R248" s="18">
        <v>46507.75</v>
      </c>
      <c r="S248" s="17">
        <f>NETWORKDAYS(Q248,R248)</f>
        <v>3</v>
      </c>
      <c r="T248" s="18" t="s">
        <v>37</v>
      </c>
      <c r="U248" s="18" t="s">
        <v>37</v>
      </c>
      <c r="V248" s="17" t="s">
        <v>102</v>
      </c>
      <c r="W248" s="19">
        <v>0</v>
      </c>
      <c r="X248" s="17" t="str">
        <f>IF(OR(V248="Completada",V248="No aplica"),"VERDE",IF(V248="Bloqueada","ROJO",IF(R248&lt;TODAY(),"ROJO",IF(AND(R248-TODAY()&lt;=7,W248&lt;1),"AMARILLO","GRIS"))))</f>
        <v>GRIS</v>
      </c>
      <c r="Y248" s="17" t="s">
        <v>37</v>
      </c>
    </row>
    <row r="249" ht="46" customHeight="1" spans="1:25" x14ac:dyDescent="0.25">
      <c r="A249" s="20" t="s">
        <v>1793</v>
      </c>
      <c r="B249" s="20" t="s">
        <v>1620</v>
      </c>
      <c r="C249" s="20" t="s">
        <v>59</v>
      </c>
      <c r="D249" s="20" t="s">
        <v>53</v>
      </c>
      <c r="E249" s="20" t="s">
        <v>1794</v>
      </c>
      <c r="F249" s="20" t="s">
        <v>1795</v>
      </c>
      <c r="G249" s="20" t="s">
        <v>1796</v>
      </c>
      <c r="H249" s="20" t="s">
        <v>1797</v>
      </c>
      <c r="I249" s="20" t="s">
        <v>96</v>
      </c>
      <c r="J249" s="20" t="s">
        <v>97</v>
      </c>
      <c r="K249" s="20" t="s">
        <v>232</v>
      </c>
      <c r="L249" s="20" t="s">
        <v>1682</v>
      </c>
      <c r="M249" s="20" t="s">
        <v>1786</v>
      </c>
      <c r="N249" s="20" t="s">
        <v>1798</v>
      </c>
      <c r="O249" s="20" t="s">
        <v>117</v>
      </c>
      <c r="P249" s="20">
        <v>1</v>
      </c>
      <c r="Q249" s="21">
        <v>46510.75</v>
      </c>
      <c r="R249" s="21">
        <v>46512.75</v>
      </c>
      <c r="S249" s="20">
        <f>NETWORKDAYS(Q249,R249)</f>
        <v>3</v>
      </c>
      <c r="T249" s="21" t="s">
        <v>37</v>
      </c>
      <c r="U249" s="21" t="s">
        <v>37</v>
      </c>
      <c r="V249" s="20" t="s">
        <v>102</v>
      </c>
      <c r="W249" s="22">
        <v>0</v>
      </c>
      <c r="X249" s="20" t="str">
        <f>IF(OR(V249="Completada",V249="No aplica"),"VERDE",IF(V249="Bloqueada","ROJO",IF(R249&lt;TODAY(),"ROJO",IF(AND(R249-TODAY()&lt;=7,W249&lt;1),"AMARILLO","GRIS"))))</f>
        <v>GRIS</v>
      </c>
      <c r="Y249" s="20" t="s">
        <v>37</v>
      </c>
    </row>
    <row r="250" ht="46" customHeight="1" spans="1:25" x14ac:dyDescent="0.25">
      <c r="A250" s="17" t="s">
        <v>1799</v>
      </c>
      <c r="B250" s="17" t="s">
        <v>1620</v>
      </c>
      <c r="C250" s="17" t="s">
        <v>59</v>
      </c>
      <c r="D250" s="17" t="s">
        <v>1800</v>
      </c>
      <c r="E250" s="17" t="s">
        <v>1801</v>
      </c>
      <c r="F250" s="17" t="s">
        <v>1802</v>
      </c>
      <c r="G250" s="17" t="s">
        <v>1803</v>
      </c>
      <c r="H250" s="17" t="s">
        <v>1804</v>
      </c>
      <c r="I250" s="17" t="s">
        <v>96</v>
      </c>
      <c r="J250" s="17" t="s">
        <v>97</v>
      </c>
      <c r="K250" s="17" t="s">
        <v>232</v>
      </c>
      <c r="L250" s="17" t="s">
        <v>1682</v>
      </c>
      <c r="M250" s="17" t="s">
        <v>1793</v>
      </c>
      <c r="N250" s="17" t="s">
        <v>1805</v>
      </c>
      <c r="O250" s="17" t="s">
        <v>117</v>
      </c>
      <c r="P250" s="17">
        <v>1</v>
      </c>
      <c r="Q250" s="18">
        <v>46513.75</v>
      </c>
      <c r="R250" s="18">
        <v>46518.75</v>
      </c>
      <c r="S250" s="17">
        <f>NETWORKDAYS(Q250,R250)</f>
        <v>4</v>
      </c>
      <c r="T250" s="18" t="s">
        <v>37</v>
      </c>
      <c r="U250" s="18" t="s">
        <v>37</v>
      </c>
      <c r="V250" s="17" t="s">
        <v>102</v>
      </c>
      <c r="W250" s="19">
        <v>0</v>
      </c>
      <c r="X250" s="17" t="str">
        <f>IF(OR(V250="Completada",V250="No aplica"),"VERDE",IF(V250="Bloqueada","ROJO",IF(R250&lt;TODAY(),"ROJO",IF(AND(R250-TODAY()&lt;=7,W250&lt;1),"AMARILLO","GRIS"))))</f>
        <v>GRIS</v>
      </c>
      <c r="Y250" s="17" t="s">
        <v>37</v>
      </c>
    </row>
    <row r="251" ht="46" customHeight="1" spans="1:25" x14ac:dyDescent="0.25">
      <c r="A251" s="20" t="s">
        <v>1806</v>
      </c>
      <c r="B251" s="20" t="s">
        <v>1620</v>
      </c>
      <c r="C251" s="20" t="s">
        <v>59</v>
      </c>
      <c r="D251" s="20" t="s">
        <v>1807</v>
      </c>
      <c r="E251" s="20" t="s">
        <v>1808</v>
      </c>
      <c r="F251" s="20" t="s">
        <v>1809</v>
      </c>
      <c r="G251" s="20" t="s">
        <v>1810</v>
      </c>
      <c r="H251" s="20" t="s">
        <v>1811</v>
      </c>
      <c r="I251" s="20" t="s">
        <v>96</v>
      </c>
      <c r="J251" s="20" t="s">
        <v>97</v>
      </c>
      <c r="K251" s="20" t="s">
        <v>232</v>
      </c>
      <c r="L251" s="20" t="s">
        <v>1682</v>
      </c>
      <c r="M251" s="20" t="s">
        <v>1799</v>
      </c>
      <c r="N251" s="20" t="s">
        <v>1812</v>
      </c>
      <c r="O251" s="20" t="s">
        <v>117</v>
      </c>
      <c r="P251" s="20">
        <v>1</v>
      </c>
      <c r="Q251" s="21">
        <v>46519.75</v>
      </c>
      <c r="R251" s="21">
        <v>46521.75</v>
      </c>
      <c r="S251" s="20">
        <f>NETWORKDAYS(Q251,R251)</f>
        <v>3</v>
      </c>
      <c r="T251" s="21" t="s">
        <v>37</v>
      </c>
      <c r="U251" s="21" t="s">
        <v>37</v>
      </c>
      <c r="V251" s="20" t="s">
        <v>102</v>
      </c>
      <c r="W251" s="22">
        <v>0</v>
      </c>
      <c r="X251" s="20" t="str">
        <f>IF(OR(V251="Completada",V251="No aplica"),"VERDE",IF(V251="Bloqueada","ROJO",IF(R251&lt;TODAY(),"ROJO",IF(AND(R251-TODAY()&lt;=7,W251&lt;1),"AMARILLO","GRIS"))))</f>
        <v>GRIS</v>
      </c>
      <c r="Y251" s="20" t="s">
        <v>37</v>
      </c>
    </row>
    <row r="252" ht="46" customHeight="1" spans="1:25" x14ac:dyDescent="0.25">
      <c r="A252" s="17" t="s">
        <v>1813</v>
      </c>
      <c r="B252" s="17" t="s">
        <v>1620</v>
      </c>
      <c r="C252" s="17" t="s">
        <v>60</v>
      </c>
      <c r="D252" s="17" t="s">
        <v>1814</v>
      </c>
      <c r="E252" s="17" t="s">
        <v>1815</v>
      </c>
      <c r="F252" s="17" t="s">
        <v>1816</v>
      </c>
      <c r="G252" s="17" t="s">
        <v>1817</v>
      </c>
      <c r="H252" s="17" t="s">
        <v>1818</v>
      </c>
      <c r="I252" s="17" t="s">
        <v>96</v>
      </c>
      <c r="J252" s="17" t="s">
        <v>97</v>
      </c>
      <c r="K252" s="17" t="s">
        <v>166</v>
      </c>
      <c r="L252" s="17" t="s">
        <v>1819</v>
      </c>
      <c r="M252" s="17" t="s">
        <v>37</v>
      </c>
      <c r="N252" s="17" t="s">
        <v>100</v>
      </c>
      <c r="O252" s="17" t="s">
        <v>101</v>
      </c>
      <c r="P252" s="17">
        <v>2</v>
      </c>
      <c r="Q252" s="18">
        <v>46428.75</v>
      </c>
      <c r="R252" s="18">
        <v>46433.75</v>
      </c>
      <c r="S252" s="17">
        <f>NETWORKDAYS(Q252,R252)</f>
        <v>4</v>
      </c>
      <c r="T252" s="18" t="s">
        <v>37</v>
      </c>
      <c r="U252" s="18" t="s">
        <v>37</v>
      </c>
      <c r="V252" s="17" t="s">
        <v>102</v>
      </c>
      <c r="W252" s="19">
        <v>0</v>
      </c>
      <c r="X252" s="17" t="str">
        <f>IF(OR(V252="Completada",V252="No aplica"),"VERDE",IF(V252="Bloqueada","ROJO",IF(R252&lt;TODAY(),"ROJO",IF(AND(R252-TODAY()&lt;=7,W252&lt;1),"AMARILLO","GRIS"))))</f>
        <v>GRIS</v>
      </c>
      <c r="Y252" s="17" t="s">
        <v>37</v>
      </c>
    </row>
    <row r="253" ht="46" customHeight="1" spans="1:25" x14ac:dyDescent="0.25">
      <c r="A253" s="20" t="s">
        <v>1820</v>
      </c>
      <c r="B253" s="20" t="s">
        <v>1620</v>
      </c>
      <c r="C253" s="20" t="s">
        <v>60</v>
      </c>
      <c r="D253" s="20" t="s">
        <v>1821</v>
      </c>
      <c r="E253" s="20" t="s">
        <v>1822</v>
      </c>
      <c r="F253" s="20" t="s">
        <v>1823</v>
      </c>
      <c r="G253" s="20" t="s">
        <v>1824</v>
      </c>
      <c r="H253" s="20" t="s">
        <v>1825</v>
      </c>
      <c r="I253" s="20" t="s">
        <v>96</v>
      </c>
      <c r="J253" s="20" t="s">
        <v>97</v>
      </c>
      <c r="K253" s="20" t="s">
        <v>166</v>
      </c>
      <c r="L253" s="20" t="s">
        <v>1819</v>
      </c>
      <c r="M253" s="20" t="s">
        <v>1813</v>
      </c>
      <c r="N253" s="20" t="s">
        <v>1826</v>
      </c>
      <c r="O253" s="20" t="s">
        <v>101</v>
      </c>
      <c r="P253" s="20">
        <v>2</v>
      </c>
      <c r="Q253" s="21">
        <v>46434.75</v>
      </c>
      <c r="R253" s="21">
        <v>46436.75</v>
      </c>
      <c r="S253" s="20">
        <f>NETWORKDAYS(Q253,R253)</f>
        <v>3</v>
      </c>
      <c r="T253" s="21" t="s">
        <v>37</v>
      </c>
      <c r="U253" s="21" t="s">
        <v>37</v>
      </c>
      <c r="V253" s="20" t="s">
        <v>102</v>
      </c>
      <c r="W253" s="22">
        <v>0</v>
      </c>
      <c r="X253" s="20" t="str">
        <f>IF(OR(V253="Completada",V253="No aplica"),"VERDE",IF(V253="Bloqueada","ROJO",IF(R253&lt;TODAY(),"ROJO",IF(AND(R253-TODAY()&lt;=7,W253&lt;1),"AMARILLO","GRIS"))))</f>
        <v>GRIS</v>
      </c>
      <c r="Y253" s="20" t="s">
        <v>37</v>
      </c>
    </row>
    <row r="254" ht="46" customHeight="1" spans="1:25" x14ac:dyDescent="0.25">
      <c r="A254" s="17" t="s">
        <v>1827</v>
      </c>
      <c r="B254" s="17" t="s">
        <v>1620</v>
      </c>
      <c r="C254" s="17" t="s">
        <v>60</v>
      </c>
      <c r="D254" s="17" t="s">
        <v>1828</v>
      </c>
      <c r="E254" s="17" t="s">
        <v>1829</v>
      </c>
      <c r="F254" s="17" t="s">
        <v>1830</v>
      </c>
      <c r="G254" s="17" t="s">
        <v>1831</v>
      </c>
      <c r="H254" s="17" t="s">
        <v>1832</v>
      </c>
      <c r="I254" s="17" t="s">
        <v>96</v>
      </c>
      <c r="J254" s="17" t="s">
        <v>97</v>
      </c>
      <c r="K254" s="17" t="s">
        <v>166</v>
      </c>
      <c r="L254" s="17" t="s">
        <v>1819</v>
      </c>
      <c r="M254" s="17" t="s">
        <v>1820</v>
      </c>
      <c r="N254" s="17" t="s">
        <v>1833</v>
      </c>
      <c r="O254" s="17" t="s">
        <v>117</v>
      </c>
      <c r="P254" s="17">
        <v>1</v>
      </c>
      <c r="Q254" s="18">
        <v>46437.75</v>
      </c>
      <c r="R254" s="18">
        <v>46441.75</v>
      </c>
      <c r="S254" s="17">
        <f>NETWORKDAYS(Q254,R254)</f>
        <v>3</v>
      </c>
      <c r="T254" s="18" t="s">
        <v>37</v>
      </c>
      <c r="U254" s="18" t="s">
        <v>37</v>
      </c>
      <c r="V254" s="17" t="s">
        <v>102</v>
      </c>
      <c r="W254" s="19">
        <v>0</v>
      </c>
      <c r="X254" s="17" t="str">
        <f>IF(OR(V254="Completada",V254="No aplica"),"VERDE",IF(V254="Bloqueada","ROJO",IF(R254&lt;TODAY(),"ROJO",IF(AND(R254-TODAY()&lt;=7,W254&lt;1),"AMARILLO","GRIS"))))</f>
        <v>GRIS</v>
      </c>
      <c r="Y254" s="17" t="s">
        <v>37</v>
      </c>
    </row>
    <row r="255" ht="46" customHeight="1" spans="1:25" x14ac:dyDescent="0.25">
      <c r="A255" s="20" t="s">
        <v>1834</v>
      </c>
      <c r="B255" s="20" t="s">
        <v>1620</v>
      </c>
      <c r="C255" s="20" t="s">
        <v>60</v>
      </c>
      <c r="D255" s="20" t="s">
        <v>1835</v>
      </c>
      <c r="E255" s="20" t="s">
        <v>1836</v>
      </c>
      <c r="F255" s="20" t="s">
        <v>1837</v>
      </c>
      <c r="G255" s="20" t="s">
        <v>1838</v>
      </c>
      <c r="H255" s="20" t="s">
        <v>1839</v>
      </c>
      <c r="I255" s="20" t="s">
        <v>96</v>
      </c>
      <c r="J255" s="20" t="s">
        <v>97</v>
      </c>
      <c r="K255" s="20" t="s">
        <v>166</v>
      </c>
      <c r="L255" s="20" t="s">
        <v>1819</v>
      </c>
      <c r="M255" s="20" t="s">
        <v>1827</v>
      </c>
      <c r="N255" s="20" t="s">
        <v>1840</v>
      </c>
      <c r="O255" s="20" t="s">
        <v>117</v>
      </c>
      <c r="P255" s="20">
        <v>1</v>
      </c>
      <c r="Q255" s="21">
        <v>46442.75</v>
      </c>
      <c r="R255" s="21">
        <v>46447.75</v>
      </c>
      <c r="S255" s="20">
        <f>NETWORKDAYS(Q255,R255)</f>
        <v>4</v>
      </c>
      <c r="T255" s="21" t="s">
        <v>37</v>
      </c>
      <c r="U255" s="21" t="s">
        <v>37</v>
      </c>
      <c r="V255" s="20" t="s">
        <v>102</v>
      </c>
      <c r="W255" s="22">
        <v>0</v>
      </c>
      <c r="X255" s="20" t="str">
        <f>IF(OR(V255="Completada",V255="No aplica"),"VERDE",IF(V255="Bloqueada","ROJO",IF(R255&lt;TODAY(),"ROJO",IF(AND(R255-TODAY()&lt;=7,W255&lt;1),"AMARILLO","GRIS"))))</f>
        <v>GRIS</v>
      </c>
      <c r="Y255" s="20" t="s">
        <v>37</v>
      </c>
    </row>
    <row r="256" ht="46" customHeight="1" spans="1:25" x14ac:dyDescent="0.25">
      <c r="A256" s="17" t="s">
        <v>1841</v>
      </c>
      <c r="B256" s="17" t="s">
        <v>1620</v>
      </c>
      <c r="C256" s="17" t="s">
        <v>60</v>
      </c>
      <c r="D256" s="17" t="s">
        <v>1842</v>
      </c>
      <c r="E256" s="17" t="s">
        <v>1843</v>
      </c>
      <c r="F256" s="17" t="s">
        <v>1844</v>
      </c>
      <c r="G256" s="17" t="s">
        <v>1845</v>
      </c>
      <c r="H256" s="17" t="s">
        <v>1846</v>
      </c>
      <c r="I256" s="17" t="s">
        <v>96</v>
      </c>
      <c r="J256" s="17" t="s">
        <v>97</v>
      </c>
      <c r="K256" s="17" t="s">
        <v>166</v>
      </c>
      <c r="L256" s="17" t="s">
        <v>1819</v>
      </c>
      <c r="M256" s="17" t="s">
        <v>1834</v>
      </c>
      <c r="N256" s="17" t="s">
        <v>1847</v>
      </c>
      <c r="O256" s="17" t="s">
        <v>117</v>
      </c>
      <c r="P256" s="17">
        <v>1</v>
      </c>
      <c r="Q256" s="18">
        <v>46448.75</v>
      </c>
      <c r="R256" s="18">
        <v>46450.75</v>
      </c>
      <c r="S256" s="17">
        <f>NETWORKDAYS(Q256,R256)</f>
        <v>3</v>
      </c>
      <c r="T256" s="18" t="s">
        <v>37</v>
      </c>
      <c r="U256" s="18" t="s">
        <v>37</v>
      </c>
      <c r="V256" s="17" t="s">
        <v>102</v>
      </c>
      <c r="W256" s="19">
        <v>0</v>
      </c>
      <c r="X256" s="17" t="str">
        <f>IF(OR(V256="Completada",V256="No aplica"),"VERDE",IF(V256="Bloqueada","ROJO",IF(R256&lt;TODAY(),"ROJO",IF(AND(R256-TODAY()&lt;=7,W256&lt;1),"AMARILLO","GRIS"))))</f>
        <v>GRIS</v>
      </c>
      <c r="Y256" s="17" t="s">
        <v>37</v>
      </c>
    </row>
    <row r="257" ht="46" customHeight="1" spans="1:25" x14ac:dyDescent="0.25">
      <c r="A257" s="20" t="s">
        <v>1848</v>
      </c>
      <c r="B257" s="20" t="s">
        <v>1620</v>
      </c>
      <c r="C257" s="20" t="s">
        <v>60</v>
      </c>
      <c r="D257" s="20" t="s">
        <v>1849</v>
      </c>
      <c r="E257" s="20" t="s">
        <v>1850</v>
      </c>
      <c r="F257" s="20" t="s">
        <v>1851</v>
      </c>
      <c r="G257" s="20" t="s">
        <v>1852</v>
      </c>
      <c r="H257" s="20" t="s">
        <v>1853</v>
      </c>
      <c r="I257" s="20" t="s">
        <v>96</v>
      </c>
      <c r="J257" s="20" t="s">
        <v>97</v>
      </c>
      <c r="K257" s="20" t="s">
        <v>166</v>
      </c>
      <c r="L257" s="20" t="s">
        <v>1819</v>
      </c>
      <c r="M257" s="20" t="s">
        <v>1841</v>
      </c>
      <c r="N257" s="20" t="s">
        <v>1854</v>
      </c>
      <c r="O257" s="20" t="s">
        <v>117</v>
      </c>
      <c r="P257" s="20">
        <v>1</v>
      </c>
      <c r="Q257" s="21">
        <v>46451.75</v>
      </c>
      <c r="R257" s="21">
        <v>46455.75</v>
      </c>
      <c r="S257" s="20">
        <f>NETWORKDAYS(Q257,R257)</f>
        <v>3</v>
      </c>
      <c r="T257" s="21" t="s">
        <v>37</v>
      </c>
      <c r="U257" s="21" t="s">
        <v>37</v>
      </c>
      <c r="V257" s="20" t="s">
        <v>102</v>
      </c>
      <c r="W257" s="22">
        <v>0</v>
      </c>
      <c r="X257" s="20" t="str">
        <f>IF(OR(V257="Completada",V257="No aplica"),"VERDE",IF(V257="Bloqueada","ROJO",IF(R257&lt;TODAY(),"ROJO",IF(AND(R257-TODAY()&lt;=7,W257&lt;1),"AMARILLO","GRIS"))))</f>
        <v>GRIS</v>
      </c>
      <c r="Y257" s="20" t="s">
        <v>37</v>
      </c>
    </row>
    <row r="258" ht="46" customHeight="1" spans="1:25" x14ac:dyDescent="0.25">
      <c r="A258" s="17" t="s">
        <v>1855</v>
      </c>
      <c r="B258" s="17" t="s">
        <v>1620</v>
      </c>
      <c r="C258" s="17" t="s">
        <v>60</v>
      </c>
      <c r="D258" s="17" t="s">
        <v>1856</v>
      </c>
      <c r="E258" s="17" t="s">
        <v>1857</v>
      </c>
      <c r="F258" s="17" t="s">
        <v>1858</v>
      </c>
      <c r="G258" s="17" t="s">
        <v>1859</v>
      </c>
      <c r="H258" s="17" t="s">
        <v>1860</v>
      </c>
      <c r="I258" s="17" t="s">
        <v>96</v>
      </c>
      <c r="J258" s="17" t="s">
        <v>97</v>
      </c>
      <c r="K258" s="17" t="s">
        <v>166</v>
      </c>
      <c r="L258" s="17" t="s">
        <v>1819</v>
      </c>
      <c r="M258" s="17" t="s">
        <v>1848</v>
      </c>
      <c r="N258" s="17" t="s">
        <v>1861</v>
      </c>
      <c r="O258" s="17" t="s">
        <v>117</v>
      </c>
      <c r="P258" s="17">
        <v>1</v>
      </c>
      <c r="Q258" s="18">
        <v>46456.75</v>
      </c>
      <c r="R258" s="18">
        <v>46461.75</v>
      </c>
      <c r="S258" s="17">
        <f>NETWORKDAYS(Q258,R258)</f>
        <v>4</v>
      </c>
      <c r="T258" s="18" t="s">
        <v>37</v>
      </c>
      <c r="U258" s="18" t="s">
        <v>37</v>
      </c>
      <c r="V258" s="17" t="s">
        <v>102</v>
      </c>
      <c r="W258" s="19">
        <v>0</v>
      </c>
      <c r="X258" s="17" t="str">
        <f>IF(OR(V258="Completada",V258="No aplica"),"VERDE",IF(V258="Bloqueada","ROJO",IF(R258&lt;TODAY(),"ROJO",IF(AND(R258-TODAY()&lt;=7,W258&lt;1),"AMARILLO","GRIS"))))</f>
        <v>GRIS</v>
      </c>
      <c r="Y258" s="17" t="s">
        <v>37</v>
      </c>
    </row>
    <row r="259" ht="46" customHeight="1" spans="1:25" x14ac:dyDescent="0.25">
      <c r="A259" s="20" t="s">
        <v>1862</v>
      </c>
      <c r="B259" s="20" t="s">
        <v>1620</v>
      </c>
      <c r="C259" s="20" t="s">
        <v>60</v>
      </c>
      <c r="D259" s="20" t="s">
        <v>1863</v>
      </c>
      <c r="E259" s="20" t="s">
        <v>1864</v>
      </c>
      <c r="F259" s="20" t="s">
        <v>1865</v>
      </c>
      <c r="G259" s="20" t="s">
        <v>1866</v>
      </c>
      <c r="H259" s="20" t="s">
        <v>1867</v>
      </c>
      <c r="I259" s="20" t="s">
        <v>96</v>
      </c>
      <c r="J259" s="20" t="s">
        <v>97</v>
      </c>
      <c r="K259" s="20" t="s">
        <v>166</v>
      </c>
      <c r="L259" s="20" t="s">
        <v>1819</v>
      </c>
      <c r="M259" s="20" t="s">
        <v>1855</v>
      </c>
      <c r="N259" s="20" t="s">
        <v>1868</v>
      </c>
      <c r="O259" s="20" t="s">
        <v>117</v>
      </c>
      <c r="P259" s="20">
        <v>1</v>
      </c>
      <c r="Q259" s="21">
        <v>46462.75</v>
      </c>
      <c r="R259" s="21">
        <v>46464.75</v>
      </c>
      <c r="S259" s="20">
        <f>NETWORKDAYS(Q259,R259)</f>
        <v>3</v>
      </c>
      <c r="T259" s="21" t="s">
        <v>37</v>
      </c>
      <c r="U259" s="21" t="s">
        <v>37</v>
      </c>
      <c r="V259" s="20" t="s">
        <v>102</v>
      </c>
      <c r="W259" s="22">
        <v>0</v>
      </c>
      <c r="X259" s="20" t="str">
        <f>IF(OR(V259="Completada",V259="No aplica"),"VERDE",IF(V259="Bloqueada","ROJO",IF(R259&lt;TODAY(),"ROJO",IF(AND(R259-TODAY()&lt;=7,W259&lt;1),"AMARILLO","GRIS"))))</f>
        <v>GRIS</v>
      </c>
      <c r="Y259" s="20" t="s">
        <v>37</v>
      </c>
    </row>
    <row r="260" ht="46" customHeight="1" spans="1:25" x14ac:dyDescent="0.25">
      <c r="A260" s="17" t="s">
        <v>1869</v>
      </c>
      <c r="B260" s="17" t="s">
        <v>1870</v>
      </c>
      <c r="C260" s="17" t="s">
        <v>61</v>
      </c>
      <c r="D260" s="17" t="s">
        <v>1871</v>
      </c>
      <c r="E260" s="17" t="s">
        <v>1872</v>
      </c>
      <c r="F260" s="17" t="s">
        <v>1873</v>
      </c>
      <c r="G260" s="17" t="s">
        <v>1874</v>
      </c>
      <c r="H260" s="17" t="s">
        <v>1875</v>
      </c>
      <c r="I260" s="17" t="s">
        <v>96</v>
      </c>
      <c r="J260" s="17" t="s">
        <v>97</v>
      </c>
      <c r="K260" s="17" t="s">
        <v>714</v>
      </c>
      <c r="L260" s="17" t="s">
        <v>1876</v>
      </c>
      <c r="M260" s="17" t="s">
        <v>37</v>
      </c>
      <c r="N260" s="17" t="s">
        <v>100</v>
      </c>
      <c r="O260" s="17" t="s">
        <v>101</v>
      </c>
      <c r="P260" s="17">
        <v>2</v>
      </c>
      <c r="Q260" s="18">
        <v>46419.75</v>
      </c>
      <c r="R260" s="18">
        <v>46422.75</v>
      </c>
      <c r="S260" s="17">
        <f>NETWORKDAYS(Q260,R260)</f>
        <v>4</v>
      </c>
      <c r="T260" s="18" t="s">
        <v>37</v>
      </c>
      <c r="U260" s="18" t="s">
        <v>37</v>
      </c>
      <c r="V260" s="17" t="s">
        <v>102</v>
      </c>
      <c r="W260" s="19">
        <v>0</v>
      </c>
      <c r="X260" s="17" t="str">
        <f>IF(OR(V260="Completada",V260="No aplica"),"VERDE",IF(V260="Bloqueada","ROJO",IF(R260&lt;TODAY(),"ROJO",IF(AND(R260-TODAY()&lt;=7,W260&lt;1),"AMARILLO","GRIS"))))</f>
        <v>GRIS</v>
      </c>
      <c r="Y260" s="17" t="s">
        <v>37</v>
      </c>
    </row>
    <row r="261" ht="46" customHeight="1" spans="1:25" x14ac:dyDescent="0.25">
      <c r="A261" s="20" t="s">
        <v>1877</v>
      </c>
      <c r="B261" s="20" t="s">
        <v>1870</v>
      </c>
      <c r="C261" s="20" t="s">
        <v>61</v>
      </c>
      <c r="D261" s="20" t="s">
        <v>1878</v>
      </c>
      <c r="E261" s="20" t="s">
        <v>1879</v>
      </c>
      <c r="F261" s="20" t="s">
        <v>1880</v>
      </c>
      <c r="G261" s="20" t="s">
        <v>1881</v>
      </c>
      <c r="H261" s="20" t="s">
        <v>1882</v>
      </c>
      <c r="I261" s="20" t="s">
        <v>96</v>
      </c>
      <c r="J261" s="20" t="s">
        <v>97</v>
      </c>
      <c r="K261" s="20" t="s">
        <v>714</v>
      </c>
      <c r="L261" s="20" t="s">
        <v>1876</v>
      </c>
      <c r="M261" s="20" t="s">
        <v>1869</v>
      </c>
      <c r="N261" s="20" t="s">
        <v>1883</v>
      </c>
      <c r="O261" s="20" t="s">
        <v>101</v>
      </c>
      <c r="P261" s="20">
        <v>2</v>
      </c>
      <c r="Q261" s="21">
        <v>46423.75</v>
      </c>
      <c r="R261" s="21">
        <v>46427.75</v>
      </c>
      <c r="S261" s="20">
        <f>NETWORKDAYS(Q261,R261)</f>
        <v>3</v>
      </c>
      <c r="T261" s="21" t="s">
        <v>37</v>
      </c>
      <c r="U261" s="21" t="s">
        <v>37</v>
      </c>
      <c r="V261" s="20" t="s">
        <v>102</v>
      </c>
      <c r="W261" s="22">
        <v>0</v>
      </c>
      <c r="X261" s="20" t="str">
        <f>IF(OR(V261="Completada",V261="No aplica"),"VERDE",IF(V261="Bloqueada","ROJO",IF(R261&lt;TODAY(),"ROJO",IF(AND(R261-TODAY()&lt;=7,W261&lt;1),"AMARILLO","GRIS"))))</f>
        <v>GRIS</v>
      </c>
      <c r="Y261" s="20" t="s">
        <v>37</v>
      </c>
    </row>
    <row r="262" ht="46" customHeight="1" spans="1:25" x14ac:dyDescent="0.25">
      <c r="A262" s="17" t="s">
        <v>1884</v>
      </c>
      <c r="B262" s="17" t="s">
        <v>1870</v>
      </c>
      <c r="C262" s="17" t="s">
        <v>61</v>
      </c>
      <c r="D262" s="17" t="s">
        <v>1885</v>
      </c>
      <c r="E262" s="17" t="s">
        <v>1886</v>
      </c>
      <c r="F262" s="17" t="s">
        <v>1887</v>
      </c>
      <c r="G262" s="17" t="s">
        <v>1888</v>
      </c>
      <c r="H262" s="17" t="s">
        <v>1889</v>
      </c>
      <c r="I262" s="17" t="s">
        <v>96</v>
      </c>
      <c r="J262" s="17" t="s">
        <v>97</v>
      </c>
      <c r="K262" s="17" t="s">
        <v>714</v>
      </c>
      <c r="L262" s="17" t="s">
        <v>1876</v>
      </c>
      <c r="M262" s="17" t="s">
        <v>1877</v>
      </c>
      <c r="N262" s="17" t="s">
        <v>1890</v>
      </c>
      <c r="O262" s="17" t="s">
        <v>117</v>
      </c>
      <c r="P262" s="17">
        <v>1</v>
      </c>
      <c r="Q262" s="18">
        <v>46428.75</v>
      </c>
      <c r="R262" s="18">
        <v>46430.75</v>
      </c>
      <c r="S262" s="17">
        <f>NETWORKDAYS(Q262,R262)</f>
        <v>3</v>
      </c>
      <c r="T262" s="18" t="s">
        <v>37</v>
      </c>
      <c r="U262" s="18" t="s">
        <v>37</v>
      </c>
      <c r="V262" s="17" t="s">
        <v>102</v>
      </c>
      <c r="W262" s="19">
        <v>0</v>
      </c>
      <c r="X262" s="17" t="str">
        <f>IF(OR(V262="Completada",V262="No aplica"),"VERDE",IF(V262="Bloqueada","ROJO",IF(R262&lt;TODAY(),"ROJO",IF(AND(R262-TODAY()&lt;=7,W262&lt;1),"AMARILLO","GRIS"))))</f>
        <v>GRIS</v>
      </c>
      <c r="Y262" s="17" t="s">
        <v>37</v>
      </c>
    </row>
    <row r="263" ht="46" customHeight="1" spans="1:25" x14ac:dyDescent="0.25">
      <c r="A263" s="20" t="s">
        <v>1891</v>
      </c>
      <c r="B263" s="20" t="s">
        <v>1870</v>
      </c>
      <c r="C263" s="20" t="s">
        <v>61</v>
      </c>
      <c r="D263" s="20" t="s">
        <v>1892</v>
      </c>
      <c r="E263" s="20" t="s">
        <v>1893</v>
      </c>
      <c r="F263" s="20" t="s">
        <v>1894</v>
      </c>
      <c r="G263" s="20" t="s">
        <v>1895</v>
      </c>
      <c r="H263" s="20" t="s">
        <v>1896</v>
      </c>
      <c r="I263" s="20" t="s">
        <v>96</v>
      </c>
      <c r="J263" s="20" t="s">
        <v>97</v>
      </c>
      <c r="K263" s="20" t="s">
        <v>714</v>
      </c>
      <c r="L263" s="20" t="s">
        <v>1876</v>
      </c>
      <c r="M263" s="20" t="s">
        <v>1884</v>
      </c>
      <c r="N263" s="20" t="s">
        <v>1897</v>
      </c>
      <c r="O263" s="20" t="s">
        <v>117</v>
      </c>
      <c r="P263" s="20">
        <v>1</v>
      </c>
      <c r="Q263" s="21">
        <v>46433.75</v>
      </c>
      <c r="R263" s="21">
        <v>46436.75</v>
      </c>
      <c r="S263" s="20">
        <f>NETWORKDAYS(Q263,R263)</f>
        <v>4</v>
      </c>
      <c r="T263" s="21" t="s">
        <v>37</v>
      </c>
      <c r="U263" s="21" t="s">
        <v>37</v>
      </c>
      <c r="V263" s="20" t="s">
        <v>102</v>
      </c>
      <c r="W263" s="22">
        <v>0</v>
      </c>
      <c r="X263" s="20" t="str">
        <f>IF(OR(V263="Completada",V263="No aplica"),"VERDE",IF(V263="Bloqueada","ROJO",IF(R263&lt;TODAY(),"ROJO",IF(AND(R263-TODAY()&lt;=7,W263&lt;1),"AMARILLO","GRIS"))))</f>
        <v>GRIS</v>
      </c>
      <c r="Y263" s="20" t="s">
        <v>37</v>
      </c>
    </row>
    <row r="264" ht="46" customHeight="1" spans="1:25" x14ac:dyDescent="0.25">
      <c r="A264" s="17" t="s">
        <v>1898</v>
      </c>
      <c r="B264" s="17" t="s">
        <v>1870</v>
      </c>
      <c r="C264" s="17" t="s">
        <v>61</v>
      </c>
      <c r="D264" s="17" t="s">
        <v>1899</v>
      </c>
      <c r="E264" s="17" t="s">
        <v>1900</v>
      </c>
      <c r="F264" s="17" t="s">
        <v>1901</v>
      </c>
      <c r="G264" s="17" t="s">
        <v>1902</v>
      </c>
      <c r="H264" s="17" t="s">
        <v>1903</v>
      </c>
      <c r="I264" s="17" t="s">
        <v>96</v>
      </c>
      <c r="J264" s="17" t="s">
        <v>97</v>
      </c>
      <c r="K264" s="17" t="s">
        <v>714</v>
      </c>
      <c r="L264" s="17" t="s">
        <v>1876</v>
      </c>
      <c r="M264" s="17" t="s">
        <v>1891</v>
      </c>
      <c r="N264" s="17" t="s">
        <v>1904</v>
      </c>
      <c r="O264" s="17" t="s">
        <v>117</v>
      </c>
      <c r="P264" s="17">
        <v>1</v>
      </c>
      <c r="Q264" s="18">
        <v>46437.75</v>
      </c>
      <c r="R264" s="18">
        <v>46441.75</v>
      </c>
      <c r="S264" s="17">
        <f>NETWORKDAYS(Q264,R264)</f>
        <v>3</v>
      </c>
      <c r="T264" s="18" t="s">
        <v>37</v>
      </c>
      <c r="U264" s="18" t="s">
        <v>37</v>
      </c>
      <c r="V264" s="17" t="s">
        <v>102</v>
      </c>
      <c r="W264" s="19">
        <v>0</v>
      </c>
      <c r="X264" s="17" t="str">
        <f>IF(OR(V264="Completada",V264="No aplica"),"VERDE",IF(V264="Bloqueada","ROJO",IF(R264&lt;TODAY(),"ROJO",IF(AND(R264-TODAY()&lt;=7,W264&lt;1),"AMARILLO","GRIS"))))</f>
        <v>GRIS</v>
      </c>
      <c r="Y264" s="17" t="s">
        <v>37</v>
      </c>
    </row>
    <row r="265" ht="46" customHeight="1" spans="1:25" x14ac:dyDescent="0.25">
      <c r="A265" s="20" t="s">
        <v>1905</v>
      </c>
      <c r="B265" s="20" t="s">
        <v>1870</v>
      </c>
      <c r="C265" s="20" t="s">
        <v>61</v>
      </c>
      <c r="D265" s="20" t="s">
        <v>1906</v>
      </c>
      <c r="E265" s="20" t="s">
        <v>1907</v>
      </c>
      <c r="F265" s="20" t="s">
        <v>1908</v>
      </c>
      <c r="G265" s="20" t="s">
        <v>1909</v>
      </c>
      <c r="H265" s="20" t="s">
        <v>1910</v>
      </c>
      <c r="I265" s="20" t="s">
        <v>96</v>
      </c>
      <c r="J265" s="20" t="s">
        <v>97</v>
      </c>
      <c r="K265" s="20" t="s">
        <v>714</v>
      </c>
      <c r="L265" s="20" t="s">
        <v>1876</v>
      </c>
      <c r="M265" s="20" t="s">
        <v>1898</v>
      </c>
      <c r="N265" s="20" t="s">
        <v>1911</v>
      </c>
      <c r="O265" s="20" t="s">
        <v>117</v>
      </c>
      <c r="P265" s="20">
        <v>1</v>
      </c>
      <c r="Q265" s="21">
        <v>46442.75</v>
      </c>
      <c r="R265" s="21">
        <v>46444.75</v>
      </c>
      <c r="S265" s="20">
        <f>NETWORKDAYS(Q265,R265)</f>
        <v>3</v>
      </c>
      <c r="T265" s="21" t="s">
        <v>37</v>
      </c>
      <c r="U265" s="21" t="s">
        <v>37</v>
      </c>
      <c r="V265" s="20" t="s">
        <v>102</v>
      </c>
      <c r="W265" s="22">
        <v>0</v>
      </c>
      <c r="X265" s="20" t="str">
        <f>IF(OR(V265="Completada",V265="No aplica"),"VERDE",IF(V265="Bloqueada","ROJO",IF(R265&lt;TODAY(),"ROJO",IF(AND(R265-TODAY()&lt;=7,W265&lt;1),"AMARILLO","GRIS"))))</f>
        <v>GRIS</v>
      </c>
      <c r="Y265" s="20" t="s">
        <v>37</v>
      </c>
    </row>
    <row r="266" ht="46" customHeight="1" spans="1:25" x14ac:dyDescent="0.25">
      <c r="A266" s="17" t="s">
        <v>1912</v>
      </c>
      <c r="B266" s="17" t="s">
        <v>1870</v>
      </c>
      <c r="C266" s="17" t="s">
        <v>61</v>
      </c>
      <c r="D266" s="17" t="s">
        <v>1913</v>
      </c>
      <c r="E266" s="17" t="s">
        <v>1914</v>
      </c>
      <c r="F266" s="17" t="s">
        <v>1915</v>
      </c>
      <c r="G266" s="17" t="s">
        <v>1916</v>
      </c>
      <c r="H266" s="17" t="s">
        <v>1917</v>
      </c>
      <c r="I266" s="17" t="s">
        <v>96</v>
      </c>
      <c r="J266" s="17" t="s">
        <v>97</v>
      </c>
      <c r="K266" s="17" t="s">
        <v>714</v>
      </c>
      <c r="L266" s="17" t="s">
        <v>1876</v>
      </c>
      <c r="M266" s="17" t="s">
        <v>1905</v>
      </c>
      <c r="N266" s="17" t="s">
        <v>1918</v>
      </c>
      <c r="O266" s="17" t="s">
        <v>117</v>
      </c>
      <c r="P266" s="17">
        <v>1</v>
      </c>
      <c r="Q266" s="18">
        <v>46447.75</v>
      </c>
      <c r="R266" s="18">
        <v>46450.75</v>
      </c>
      <c r="S266" s="17">
        <f>NETWORKDAYS(Q266,R266)</f>
        <v>4</v>
      </c>
      <c r="T266" s="18" t="s">
        <v>37</v>
      </c>
      <c r="U266" s="18" t="s">
        <v>37</v>
      </c>
      <c r="V266" s="17" t="s">
        <v>102</v>
      </c>
      <c r="W266" s="19">
        <v>0</v>
      </c>
      <c r="X266" s="17" t="str">
        <f>IF(OR(V266="Completada",V266="No aplica"),"VERDE",IF(V266="Bloqueada","ROJO",IF(R266&lt;TODAY(),"ROJO",IF(AND(R266-TODAY()&lt;=7,W266&lt;1),"AMARILLO","GRIS"))))</f>
        <v>GRIS</v>
      </c>
      <c r="Y266" s="17" t="s">
        <v>37</v>
      </c>
    </row>
    <row r="267" ht="46" customHeight="1" spans="1:25" x14ac:dyDescent="0.25">
      <c r="A267" s="20" t="s">
        <v>1919</v>
      </c>
      <c r="B267" s="20" t="s">
        <v>1870</v>
      </c>
      <c r="C267" s="20" t="s">
        <v>61</v>
      </c>
      <c r="D267" s="20" t="s">
        <v>1920</v>
      </c>
      <c r="E267" s="20" t="s">
        <v>1921</v>
      </c>
      <c r="F267" s="20" t="s">
        <v>1922</v>
      </c>
      <c r="G267" s="20" t="s">
        <v>1923</v>
      </c>
      <c r="H267" s="20" t="s">
        <v>1924</v>
      </c>
      <c r="I267" s="20" t="s">
        <v>96</v>
      </c>
      <c r="J267" s="20" t="s">
        <v>97</v>
      </c>
      <c r="K267" s="20" t="s">
        <v>714</v>
      </c>
      <c r="L267" s="20" t="s">
        <v>1876</v>
      </c>
      <c r="M267" s="20" t="s">
        <v>1912</v>
      </c>
      <c r="N267" s="20" t="s">
        <v>1925</v>
      </c>
      <c r="O267" s="20" t="s">
        <v>101</v>
      </c>
      <c r="P267" s="20">
        <v>2</v>
      </c>
      <c r="Q267" s="21">
        <v>46451.75</v>
      </c>
      <c r="R267" s="21">
        <v>46455.75</v>
      </c>
      <c r="S267" s="20">
        <f>NETWORKDAYS(Q267,R267)</f>
        <v>3</v>
      </c>
      <c r="T267" s="21" t="s">
        <v>37</v>
      </c>
      <c r="U267" s="21" t="s">
        <v>37</v>
      </c>
      <c r="V267" s="20" t="s">
        <v>102</v>
      </c>
      <c r="W267" s="22">
        <v>0</v>
      </c>
      <c r="X267" s="20" t="str">
        <f>IF(OR(V267="Completada",V267="No aplica"),"VERDE",IF(V267="Bloqueada","ROJO",IF(R267&lt;TODAY(),"ROJO",IF(AND(R267-TODAY()&lt;=7,W267&lt;1),"AMARILLO","GRIS"))))</f>
        <v>GRIS</v>
      </c>
      <c r="Y267" s="20" t="s">
        <v>37</v>
      </c>
    </row>
    <row r="268" ht="46" customHeight="1" spans="1:25" x14ac:dyDescent="0.25">
      <c r="A268" s="17" t="s">
        <v>1926</v>
      </c>
      <c r="B268" s="17" t="s">
        <v>1870</v>
      </c>
      <c r="C268" s="17" t="s">
        <v>61</v>
      </c>
      <c r="D268" s="17" t="s">
        <v>1927</v>
      </c>
      <c r="E268" s="17" t="s">
        <v>1928</v>
      </c>
      <c r="F268" s="17" t="s">
        <v>1929</v>
      </c>
      <c r="G268" s="17" t="s">
        <v>1930</v>
      </c>
      <c r="H268" s="17" t="s">
        <v>1931</v>
      </c>
      <c r="I268" s="17" t="s">
        <v>96</v>
      </c>
      <c r="J268" s="17" t="s">
        <v>97</v>
      </c>
      <c r="K268" s="17" t="s">
        <v>714</v>
      </c>
      <c r="L268" s="17" t="s">
        <v>1876</v>
      </c>
      <c r="M268" s="17" t="s">
        <v>1919</v>
      </c>
      <c r="N268" s="17" t="s">
        <v>1932</v>
      </c>
      <c r="O268" s="17" t="s">
        <v>117</v>
      </c>
      <c r="P268" s="17">
        <v>1</v>
      </c>
      <c r="Q268" s="18">
        <v>46456.75</v>
      </c>
      <c r="R268" s="18">
        <v>46458.75</v>
      </c>
      <c r="S268" s="17">
        <f>NETWORKDAYS(Q268,R268)</f>
        <v>3</v>
      </c>
      <c r="T268" s="18" t="s">
        <v>37</v>
      </c>
      <c r="U268" s="18" t="s">
        <v>37</v>
      </c>
      <c r="V268" s="17" t="s">
        <v>102</v>
      </c>
      <c r="W268" s="19">
        <v>0</v>
      </c>
      <c r="X268" s="17" t="str">
        <f>IF(OR(V268="Completada",V268="No aplica"),"VERDE",IF(V268="Bloqueada","ROJO",IF(R268&lt;TODAY(),"ROJO",IF(AND(R268-TODAY()&lt;=7,W268&lt;1),"AMARILLO","GRIS"))))</f>
        <v>GRIS</v>
      </c>
      <c r="Y268" s="17" t="s">
        <v>37</v>
      </c>
    </row>
    <row r="269" ht="46" customHeight="1" spans="1:25" x14ac:dyDescent="0.25">
      <c r="A269" s="20" t="s">
        <v>1933</v>
      </c>
      <c r="B269" s="20" t="s">
        <v>1870</v>
      </c>
      <c r="C269" s="20" t="s">
        <v>61</v>
      </c>
      <c r="D269" s="20" t="s">
        <v>1934</v>
      </c>
      <c r="E269" s="20" t="s">
        <v>1935</v>
      </c>
      <c r="F269" s="20" t="s">
        <v>1936</v>
      </c>
      <c r="G269" s="20" t="s">
        <v>1937</v>
      </c>
      <c r="H269" s="20" t="s">
        <v>1938</v>
      </c>
      <c r="I269" s="20" t="s">
        <v>96</v>
      </c>
      <c r="J269" s="20" t="s">
        <v>97</v>
      </c>
      <c r="K269" s="20" t="s">
        <v>714</v>
      </c>
      <c r="L269" s="20" t="s">
        <v>1876</v>
      </c>
      <c r="M269" s="20" t="s">
        <v>1926</v>
      </c>
      <c r="N269" s="20" t="s">
        <v>1939</v>
      </c>
      <c r="O269" s="20" t="s">
        <v>117</v>
      </c>
      <c r="P269" s="20">
        <v>1</v>
      </c>
      <c r="Q269" s="21">
        <v>46461.75</v>
      </c>
      <c r="R269" s="21">
        <v>46464.75</v>
      </c>
      <c r="S269" s="20">
        <f>NETWORKDAYS(Q269,R269)</f>
        <v>4</v>
      </c>
      <c r="T269" s="21" t="s">
        <v>37</v>
      </c>
      <c r="U269" s="21" t="s">
        <v>37</v>
      </c>
      <c r="V269" s="20" t="s">
        <v>102</v>
      </c>
      <c r="W269" s="22">
        <v>0</v>
      </c>
      <c r="X269" s="20" t="str">
        <f>IF(OR(V269="Completada",V269="No aplica"),"VERDE",IF(V269="Bloqueada","ROJO",IF(R269&lt;TODAY(),"ROJO",IF(AND(R269-TODAY()&lt;=7,W269&lt;1),"AMARILLO","GRIS"))))</f>
        <v>GRIS</v>
      </c>
      <c r="Y269" s="20" t="s">
        <v>37</v>
      </c>
    </row>
    <row r="270" ht="46" customHeight="1" spans="1:25" x14ac:dyDescent="0.25">
      <c r="A270" s="17" t="s">
        <v>1940</v>
      </c>
      <c r="B270" s="17" t="s">
        <v>1870</v>
      </c>
      <c r="C270" s="17" t="s">
        <v>61</v>
      </c>
      <c r="D270" s="17" t="s">
        <v>1941</v>
      </c>
      <c r="E270" s="17" t="s">
        <v>1942</v>
      </c>
      <c r="F270" s="17" t="s">
        <v>1943</v>
      </c>
      <c r="G270" s="17" t="s">
        <v>1944</v>
      </c>
      <c r="H270" s="17" t="s">
        <v>1945</v>
      </c>
      <c r="I270" s="17" t="s">
        <v>96</v>
      </c>
      <c r="J270" s="17" t="s">
        <v>97</v>
      </c>
      <c r="K270" s="17" t="s">
        <v>714</v>
      </c>
      <c r="L270" s="17" t="s">
        <v>1876</v>
      </c>
      <c r="M270" s="17" t="s">
        <v>1933</v>
      </c>
      <c r="N270" s="17" t="s">
        <v>1946</v>
      </c>
      <c r="O270" s="17" t="s">
        <v>117</v>
      </c>
      <c r="P270" s="17">
        <v>1</v>
      </c>
      <c r="Q270" s="18">
        <v>46465.75</v>
      </c>
      <c r="R270" s="18">
        <v>46469.75</v>
      </c>
      <c r="S270" s="17">
        <f>NETWORKDAYS(Q270,R270)</f>
        <v>3</v>
      </c>
      <c r="T270" s="18" t="s">
        <v>37</v>
      </c>
      <c r="U270" s="18" t="s">
        <v>37</v>
      </c>
      <c r="V270" s="17" t="s">
        <v>102</v>
      </c>
      <c r="W270" s="19">
        <v>0</v>
      </c>
      <c r="X270" s="17" t="str">
        <f>IF(OR(V270="Completada",V270="No aplica"),"VERDE",IF(V270="Bloqueada","ROJO",IF(R270&lt;TODAY(),"ROJO",IF(AND(R270-TODAY()&lt;=7,W270&lt;1),"AMARILLO","GRIS"))))</f>
        <v>GRIS</v>
      </c>
      <c r="Y270" s="17" t="s">
        <v>37</v>
      </c>
    </row>
    <row r="271" ht="46" customHeight="1" spans="1:25" x14ac:dyDescent="0.25">
      <c r="A271" s="20" t="s">
        <v>1947</v>
      </c>
      <c r="B271" s="20" t="s">
        <v>1870</v>
      </c>
      <c r="C271" s="20" t="s">
        <v>61</v>
      </c>
      <c r="D271" s="20" t="s">
        <v>1948</v>
      </c>
      <c r="E271" s="20" t="s">
        <v>1949</v>
      </c>
      <c r="F271" s="20" t="s">
        <v>1950</v>
      </c>
      <c r="G271" s="20" t="s">
        <v>1951</v>
      </c>
      <c r="H271" s="20" t="s">
        <v>1952</v>
      </c>
      <c r="I271" s="20" t="s">
        <v>96</v>
      </c>
      <c r="J271" s="20" t="s">
        <v>97</v>
      </c>
      <c r="K271" s="20" t="s">
        <v>714</v>
      </c>
      <c r="L271" s="20" t="s">
        <v>1876</v>
      </c>
      <c r="M271" s="20" t="s">
        <v>1940</v>
      </c>
      <c r="N271" s="20" t="s">
        <v>1953</v>
      </c>
      <c r="O271" s="20" t="s">
        <v>168</v>
      </c>
      <c r="P271" s="20">
        <v>3</v>
      </c>
      <c r="Q271" s="21">
        <v>46470.75</v>
      </c>
      <c r="R271" s="21">
        <v>46476.75</v>
      </c>
      <c r="S271" s="20">
        <f>NETWORKDAYS(Q271,R271)</f>
        <v>5</v>
      </c>
      <c r="T271" s="21" t="s">
        <v>37</v>
      </c>
      <c r="U271" s="21" t="s">
        <v>37</v>
      </c>
      <c r="V271" s="20" t="s">
        <v>102</v>
      </c>
      <c r="W271" s="22">
        <v>0</v>
      </c>
      <c r="X271" s="20" t="str">
        <f>IF(OR(V271="Completada",V271="No aplica"),"VERDE",IF(V271="Bloqueada","ROJO",IF(R271&lt;TODAY(),"ROJO",IF(AND(R271-TODAY()&lt;=7,W271&lt;1),"AMARILLO","GRIS"))))</f>
        <v>GRIS</v>
      </c>
      <c r="Y271" s="20" t="s">
        <v>37</v>
      </c>
    </row>
    <row r="272" ht="46" customHeight="1" spans="1:25" x14ac:dyDescent="0.25">
      <c r="A272" s="17" t="s">
        <v>1954</v>
      </c>
      <c r="B272" s="17" t="s">
        <v>1870</v>
      </c>
      <c r="C272" s="17" t="s">
        <v>61</v>
      </c>
      <c r="D272" s="17" t="s">
        <v>1955</v>
      </c>
      <c r="E272" s="17" t="s">
        <v>1956</v>
      </c>
      <c r="F272" s="17" t="s">
        <v>1957</v>
      </c>
      <c r="G272" s="17" t="s">
        <v>1958</v>
      </c>
      <c r="H272" s="17" t="s">
        <v>1959</v>
      </c>
      <c r="I272" s="17" t="s">
        <v>96</v>
      </c>
      <c r="J272" s="17" t="s">
        <v>97</v>
      </c>
      <c r="K272" s="17" t="s">
        <v>714</v>
      </c>
      <c r="L272" s="17" t="s">
        <v>1876</v>
      </c>
      <c r="M272" s="17" t="s">
        <v>1947</v>
      </c>
      <c r="N272" s="17" t="s">
        <v>1960</v>
      </c>
      <c r="O272" s="17" t="s">
        <v>168</v>
      </c>
      <c r="P272" s="17">
        <v>3</v>
      </c>
      <c r="Q272" s="18">
        <v>46477.75</v>
      </c>
      <c r="R272" s="18">
        <v>46483.75</v>
      </c>
      <c r="S272" s="17">
        <f>NETWORKDAYS(Q272,R272)</f>
        <v>5</v>
      </c>
      <c r="T272" s="18" t="s">
        <v>37</v>
      </c>
      <c r="U272" s="18" t="s">
        <v>37</v>
      </c>
      <c r="V272" s="17" t="s">
        <v>102</v>
      </c>
      <c r="W272" s="19">
        <v>0</v>
      </c>
      <c r="X272" s="17" t="str">
        <f>IF(OR(V272="Completada",V272="No aplica"),"VERDE",IF(V272="Bloqueada","ROJO",IF(R272&lt;TODAY(),"ROJO",IF(AND(R272-TODAY()&lt;=7,W272&lt;1),"AMARILLO","GRIS"))))</f>
        <v>GRIS</v>
      </c>
      <c r="Y272" s="17" t="s">
        <v>37</v>
      </c>
    </row>
    <row r="273" ht="46" customHeight="1" spans="1:25" x14ac:dyDescent="0.25">
      <c r="A273" s="20" t="s">
        <v>1961</v>
      </c>
      <c r="B273" s="20" t="s">
        <v>1870</v>
      </c>
      <c r="C273" s="20" t="s">
        <v>61</v>
      </c>
      <c r="D273" s="20" t="s">
        <v>1962</v>
      </c>
      <c r="E273" s="20" t="s">
        <v>1963</v>
      </c>
      <c r="F273" s="20" t="s">
        <v>1964</v>
      </c>
      <c r="G273" s="20" t="s">
        <v>1965</v>
      </c>
      <c r="H273" s="20" t="s">
        <v>1966</v>
      </c>
      <c r="I273" s="20" t="s">
        <v>96</v>
      </c>
      <c r="J273" s="20" t="s">
        <v>97</v>
      </c>
      <c r="K273" s="20" t="s">
        <v>714</v>
      </c>
      <c r="L273" s="20" t="s">
        <v>1876</v>
      </c>
      <c r="M273" s="20" t="s">
        <v>1954</v>
      </c>
      <c r="N273" s="20" t="s">
        <v>1967</v>
      </c>
      <c r="O273" s="20" t="s">
        <v>168</v>
      </c>
      <c r="P273" s="20">
        <v>3</v>
      </c>
      <c r="Q273" s="21">
        <v>46484.75</v>
      </c>
      <c r="R273" s="21">
        <v>46490.75</v>
      </c>
      <c r="S273" s="20">
        <f>NETWORKDAYS(Q273,R273)</f>
        <v>5</v>
      </c>
      <c r="T273" s="21" t="s">
        <v>37</v>
      </c>
      <c r="U273" s="21" t="s">
        <v>37</v>
      </c>
      <c r="V273" s="20" t="s">
        <v>102</v>
      </c>
      <c r="W273" s="22">
        <v>0</v>
      </c>
      <c r="X273" s="20" t="str">
        <f>IF(OR(V273="Completada",V273="No aplica"),"VERDE",IF(V273="Bloqueada","ROJO",IF(R273&lt;TODAY(),"ROJO",IF(AND(R273-TODAY()&lt;=7,W273&lt;1),"AMARILLO","GRIS"))))</f>
        <v>GRIS</v>
      </c>
      <c r="Y273" s="20" t="s">
        <v>37</v>
      </c>
    </row>
    <row r="274" ht="46" customHeight="1" spans="1:25" x14ac:dyDescent="0.25">
      <c r="A274" s="17" t="s">
        <v>1968</v>
      </c>
      <c r="B274" s="17" t="s">
        <v>1969</v>
      </c>
      <c r="C274" s="17" t="s">
        <v>62</v>
      </c>
      <c r="D274" s="17" t="s">
        <v>1970</v>
      </c>
      <c r="E274" s="17" t="s">
        <v>1971</v>
      </c>
      <c r="F274" s="17" t="s">
        <v>1972</v>
      </c>
      <c r="G274" s="17" t="s">
        <v>1973</v>
      </c>
      <c r="H274" s="17" t="s">
        <v>1974</v>
      </c>
      <c r="I274" s="17" t="s">
        <v>96</v>
      </c>
      <c r="J274" s="17" t="s">
        <v>97</v>
      </c>
      <c r="K274" s="17" t="s">
        <v>98</v>
      </c>
      <c r="L274" s="17" t="s">
        <v>1975</v>
      </c>
      <c r="M274" s="17" t="s">
        <v>37</v>
      </c>
      <c r="N274" s="17" t="s">
        <v>100</v>
      </c>
      <c r="O274" s="17" t="s">
        <v>101</v>
      </c>
      <c r="P274" s="17">
        <v>2</v>
      </c>
      <c r="Q274" s="18">
        <v>46465.75</v>
      </c>
      <c r="R274" s="18">
        <v>46470.75</v>
      </c>
      <c r="S274" s="17">
        <f>NETWORKDAYS(Q274,R274)</f>
        <v>4</v>
      </c>
      <c r="T274" s="18" t="s">
        <v>37</v>
      </c>
      <c r="U274" s="18" t="s">
        <v>37</v>
      </c>
      <c r="V274" s="17" t="s">
        <v>102</v>
      </c>
      <c r="W274" s="19">
        <v>0</v>
      </c>
      <c r="X274" s="17" t="str">
        <f>IF(OR(V274="Completada",V274="No aplica"),"VERDE",IF(V274="Bloqueada","ROJO",IF(R274&lt;TODAY(),"ROJO",IF(AND(R274-TODAY()&lt;=7,W274&lt;1),"AMARILLO","GRIS"))))</f>
        <v>GRIS</v>
      </c>
      <c r="Y274" s="17" t="s">
        <v>37</v>
      </c>
    </row>
    <row r="275" ht="46" customHeight="1" spans="1:25" x14ac:dyDescent="0.25">
      <c r="A275" s="20" t="s">
        <v>1976</v>
      </c>
      <c r="B275" s="20" t="s">
        <v>1969</v>
      </c>
      <c r="C275" s="20" t="s">
        <v>62</v>
      </c>
      <c r="D275" s="20" t="s">
        <v>1977</v>
      </c>
      <c r="E275" s="20" t="s">
        <v>1978</v>
      </c>
      <c r="F275" s="20" t="s">
        <v>1979</v>
      </c>
      <c r="G275" s="20" t="s">
        <v>1980</v>
      </c>
      <c r="H275" s="20" t="s">
        <v>1981</v>
      </c>
      <c r="I275" s="20" t="s">
        <v>96</v>
      </c>
      <c r="J275" s="20" t="s">
        <v>97</v>
      </c>
      <c r="K275" s="20" t="s">
        <v>98</v>
      </c>
      <c r="L275" s="20" t="s">
        <v>1975</v>
      </c>
      <c r="M275" s="20" t="s">
        <v>1968</v>
      </c>
      <c r="N275" s="20" t="s">
        <v>1982</v>
      </c>
      <c r="O275" s="20" t="s">
        <v>101</v>
      </c>
      <c r="P275" s="20">
        <v>2</v>
      </c>
      <c r="Q275" s="21">
        <v>46471.75</v>
      </c>
      <c r="R275" s="21">
        <v>46475.75</v>
      </c>
      <c r="S275" s="20">
        <f>NETWORKDAYS(Q275,R275)</f>
        <v>3</v>
      </c>
      <c r="T275" s="21" t="s">
        <v>37</v>
      </c>
      <c r="U275" s="21" t="s">
        <v>37</v>
      </c>
      <c r="V275" s="20" t="s">
        <v>102</v>
      </c>
      <c r="W275" s="22">
        <v>0</v>
      </c>
      <c r="X275" s="20" t="str">
        <f>IF(OR(V275="Completada",V275="No aplica"),"VERDE",IF(V275="Bloqueada","ROJO",IF(R275&lt;TODAY(),"ROJO",IF(AND(R275-TODAY()&lt;=7,W275&lt;1),"AMARILLO","GRIS"))))</f>
        <v>GRIS</v>
      </c>
      <c r="Y275" s="20" t="s">
        <v>37</v>
      </c>
    </row>
    <row r="276" ht="46" customHeight="1" spans="1:25" x14ac:dyDescent="0.25">
      <c r="A276" s="17" t="s">
        <v>1983</v>
      </c>
      <c r="B276" s="17" t="s">
        <v>1969</v>
      </c>
      <c r="C276" s="17" t="s">
        <v>62</v>
      </c>
      <c r="D276" s="17" t="s">
        <v>1984</v>
      </c>
      <c r="E276" s="17" t="s">
        <v>1985</v>
      </c>
      <c r="F276" s="17" t="s">
        <v>1986</v>
      </c>
      <c r="G276" s="17" t="s">
        <v>1987</v>
      </c>
      <c r="H276" s="17" t="s">
        <v>1988</v>
      </c>
      <c r="I276" s="17" t="s">
        <v>96</v>
      </c>
      <c r="J276" s="17" t="s">
        <v>97</v>
      </c>
      <c r="K276" s="17" t="s">
        <v>98</v>
      </c>
      <c r="L276" s="17" t="s">
        <v>1975</v>
      </c>
      <c r="M276" s="17" t="s">
        <v>1976</v>
      </c>
      <c r="N276" s="17" t="s">
        <v>1989</v>
      </c>
      <c r="O276" s="17" t="s">
        <v>101</v>
      </c>
      <c r="P276" s="17">
        <v>2</v>
      </c>
      <c r="Q276" s="18">
        <v>46476.75</v>
      </c>
      <c r="R276" s="18">
        <v>46478.75</v>
      </c>
      <c r="S276" s="17">
        <f>NETWORKDAYS(Q276,R276)</f>
        <v>3</v>
      </c>
      <c r="T276" s="18" t="s">
        <v>37</v>
      </c>
      <c r="U276" s="18" t="s">
        <v>37</v>
      </c>
      <c r="V276" s="17" t="s">
        <v>102</v>
      </c>
      <c r="W276" s="19">
        <v>0</v>
      </c>
      <c r="X276" s="17" t="str">
        <f>IF(OR(V276="Completada",V276="No aplica"),"VERDE",IF(V276="Bloqueada","ROJO",IF(R276&lt;TODAY(),"ROJO",IF(AND(R276-TODAY()&lt;=7,W276&lt;1),"AMARILLO","GRIS"))))</f>
        <v>GRIS</v>
      </c>
      <c r="Y276" s="17" t="s">
        <v>37</v>
      </c>
    </row>
    <row r="277" ht="46" customHeight="1" spans="1:25" x14ac:dyDescent="0.25">
      <c r="A277" s="20" t="s">
        <v>1990</v>
      </c>
      <c r="B277" s="20" t="s">
        <v>1969</v>
      </c>
      <c r="C277" s="20" t="s">
        <v>62</v>
      </c>
      <c r="D277" s="20" t="s">
        <v>1991</v>
      </c>
      <c r="E277" s="20" t="s">
        <v>1992</v>
      </c>
      <c r="F277" s="20" t="s">
        <v>1993</v>
      </c>
      <c r="G277" s="20" t="s">
        <v>1994</v>
      </c>
      <c r="H277" s="20" t="s">
        <v>1995</v>
      </c>
      <c r="I277" s="20" t="s">
        <v>96</v>
      </c>
      <c r="J277" s="20" t="s">
        <v>97</v>
      </c>
      <c r="K277" s="20" t="s">
        <v>98</v>
      </c>
      <c r="L277" s="20" t="s">
        <v>1975</v>
      </c>
      <c r="M277" s="20" t="s">
        <v>1983</v>
      </c>
      <c r="N277" s="20" t="s">
        <v>1996</v>
      </c>
      <c r="O277" s="20" t="s">
        <v>117</v>
      </c>
      <c r="P277" s="20">
        <v>1</v>
      </c>
      <c r="Q277" s="21">
        <v>46479.75</v>
      </c>
      <c r="R277" s="21">
        <v>46484.75</v>
      </c>
      <c r="S277" s="20">
        <f>NETWORKDAYS(Q277,R277)</f>
        <v>4</v>
      </c>
      <c r="T277" s="21" t="s">
        <v>37</v>
      </c>
      <c r="U277" s="21" t="s">
        <v>37</v>
      </c>
      <c r="V277" s="20" t="s">
        <v>102</v>
      </c>
      <c r="W277" s="22">
        <v>0</v>
      </c>
      <c r="X277" s="20" t="str">
        <f>IF(OR(V277="Completada",V277="No aplica"),"VERDE",IF(V277="Bloqueada","ROJO",IF(R277&lt;TODAY(),"ROJO",IF(AND(R277-TODAY()&lt;=7,W277&lt;1),"AMARILLO","GRIS"))))</f>
        <v>GRIS</v>
      </c>
      <c r="Y277" s="20" t="s">
        <v>37</v>
      </c>
    </row>
    <row r="278" ht="46" customHeight="1" spans="1:25" x14ac:dyDescent="0.25">
      <c r="A278" s="17" t="s">
        <v>1997</v>
      </c>
      <c r="B278" s="17" t="s">
        <v>1969</v>
      </c>
      <c r="C278" s="17" t="s">
        <v>62</v>
      </c>
      <c r="D278" s="17" t="s">
        <v>1998</v>
      </c>
      <c r="E278" s="17" t="s">
        <v>1999</v>
      </c>
      <c r="F278" s="17" t="s">
        <v>2000</v>
      </c>
      <c r="G278" s="17" t="s">
        <v>2001</v>
      </c>
      <c r="H278" s="17" t="s">
        <v>2002</v>
      </c>
      <c r="I278" s="17" t="s">
        <v>96</v>
      </c>
      <c r="J278" s="17" t="s">
        <v>97</v>
      </c>
      <c r="K278" s="17" t="s">
        <v>98</v>
      </c>
      <c r="L278" s="17" t="s">
        <v>1975</v>
      </c>
      <c r="M278" s="17" t="s">
        <v>1990</v>
      </c>
      <c r="N278" s="17" t="s">
        <v>2003</v>
      </c>
      <c r="O278" s="17" t="s">
        <v>101</v>
      </c>
      <c r="P278" s="17">
        <v>2</v>
      </c>
      <c r="Q278" s="18">
        <v>46485.75</v>
      </c>
      <c r="R278" s="18">
        <v>46489.75</v>
      </c>
      <c r="S278" s="17">
        <f>NETWORKDAYS(Q278,R278)</f>
        <v>3</v>
      </c>
      <c r="T278" s="18" t="s">
        <v>37</v>
      </c>
      <c r="U278" s="18" t="s">
        <v>37</v>
      </c>
      <c r="V278" s="17" t="s">
        <v>102</v>
      </c>
      <c r="W278" s="19">
        <v>0</v>
      </c>
      <c r="X278" s="17" t="str">
        <f>IF(OR(V278="Completada",V278="No aplica"),"VERDE",IF(V278="Bloqueada","ROJO",IF(R278&lt;TODAY(),"ROJO",IF(AND(R278-TODAY()&lt;=7,W278&lt;1),"AMARILLO","GRIS"))))</f>
        <v>GRIS</v>
      </c>
      <c r="Y278" s="17" t="s">
        <v>37</v>
      </c>
    </row>
    <row r="279" ht="46" customHeight="1" spans="1:25" x14ac:dyDescent="0.25">
      <c r="A279" s="20" t="s">
        <v>2004</v>
      </c>
      <c r="B279" s="20" t="s">
        <v>1969</v>
      </c>
      <c r="C279" s="20" t="s">
        <v>62</v>
      </c>
      <c r="D279" s="20" t="s">
        <v>2005</v>
      </c>
      <c r="E279" s="20" t="s">
        <v>2006</v>
      </c>
      <c r="F279" s="20" t="s">
        <v>2007</v>
      </c>
      <c r="G279" s="20" t="s">
        <v>2008</v>
      </c>
      <c r="H279" s="20" t="s">
        <v>2009</v>
      </c>
      <c r="I279" s="20" t="s">
        <v>96</v>
      </c>
      <c r="J279" s="20" t="s">
        <v>97</v>
      </c>
      <c r="K279" s="20" t="s">
        <v>98</v>
      </c>
      <c r="L279" s="20" t="s">
        <v>1975</v>
      </c>
      <c r="M279" s="20" t="s">
        <v>1997</v>
      </c>
      <c r="N279" s="20" t="s">
        <v>2010</v>
      </c>
      <c r="O279" s="20" t="s">
        <v>117</v>
      </c>
      <c r="P279" s="20">
        <v>1</v>
      </c>
      <c r="Q279" s="21">
        <v>46490.75</v>
      </c>
      <c r="R279" s="21">
        <v>46492.75</v>
      </c>
      <c r="S279" s="20">
        <f>NETWORKDAYS(Q279,R279)</f>
        <v>3</v>
      </c>
      <c r="T279" s="21" t="s">
        <v>37</v>
      </c>
      <c r="U279" s="21" t="s">
        <v>37</v>
      </c>
      <c r="V279" s="20" t="s">
        <v>102</v>
      </c>
      <c r="W279" s="22">
        <v>0</v>
      </c>
      <c r="X279" s="20" t="str">
        <f>IF(OR(V279="Completada",V279="No aplica"),"VERDE",IF(V279="Bloqueada","ROJO",IF(R279&lt;TODAY(),"ROJO",IF(AND(R279-TODAY()&lt;=7,W279&lt;1),"AMARILLO","GRIS"))))</f>
        <v>GRIS</v>
      </c>
      <c r="Y279" s="20" t="s">
        <v>37</v>
      </c>
    </row>
    <row r="280" ht="46" customHeight="1" spans="1:25" x14ac:dyDescent="0.25">
      <c r="A280" s="17" t="s">
        <v>2011</v>
      </c>
      <c r="B280" s="17" t="s">
        <v>1969</v>
      </c>
      <c r="C280" s="17" t="s">
        <v>62</v>
      </c>
      <c r="D280" s="17" t="s">
        <v>2012</v>
      </c>
      <c r="E280" s="17" t="s">
        <v>2013</v>
      </c>
      <c r="F280" s="17" t="s">
        <v>2014</v>
      </c>
      <c r="G280" s="17" t="s">
        <v>2015</v>
      </c>
      <c r="H280" s="17" t="s">
        <v>2016</v>
      </c>
      <c r="I280" s="17" t="s">
        <v>96</v>
      </c>
      <c r="J280" s="17" t="s">
        <v>97</v>
      </c>
      <c r="K280" s="17" t="s">
        <v>98</v>
      </c>
      <c r="L280" s="17" t="s">
        <v>1975</v>
      </c>
      <c r="M280" s="17" t="s">
        <v>2004</v>
      </c>
      <c r="N280" s="17" t="s">
        <v>2017</v>
      </c>
      <c r="O280" s="17" t="s">
        <v>117</v>
      </c>
      <c r="P280" s="17">
        <v>1</v>
      </c>
      <c r="Q280" s="18">
        <v>46493.75</v>
      </c>
      <c r="R280" s="18">
        <v>46498.75</v>
      </c>
      <c r="S280" s="17">
        <f>NETWORKDAYS(Q280,R280)</f>
        <v>4</v>
      </c>
      <c r="T280" s="18" t="s">
        <v>37</v>
      </c>
      <c r="U280" s="18" t="s">
        <v>37</v>
      </c>
      <c r="V280" s="17" t="s">
        <v>102</v>
      </c>
      <c r="W280" s="19">
        <v>0</v>
      </c>
      <c r="X280" s="17" t="str">
        <f>IF(OR(V280="Completada",V280="No aplica"),"VERDE",IF(V280="Bloqueada","ROJO",IF(R280&lt;TODAY(),"ROJO",IF(AND(R280-TODAY()&lt;=7,W280&lt;1),"AMARILLO","GRIS"))))</f>
        <v>GRIS</v>
      </c>
      <c r="Y280" s="17" t="s">
        <v>37</v>
      </c>
    </row>
    <row r="281" ht="46" customHeight="1" spans="1:25" x14ac:dyDescent="0.25">
      <c r="A281" s="20" t="s">
        <v>2018</v>
      </c>
      <c r="B281" s="20" t="s">
        <v>1969</v>
      </c>
      <c r="C281" s="20" t="s">
        <v>62</v>
      </c>
      <c r="D281" s="20" t="s">
        <v>2019</v>
      </c>
      <c r="E281" s="20" t="s">
        <v>2020</v>
      </c>
      <c r="F281" s="20" t="s">
        <v>2021</v>
      </c>
      <c r="G281" s="20" t="s">
        <v>2022</v>
      </c>
      <c r="H281" s="20" t="s">
        <v>2023</v>
      </c>
      <c r="I281" s="20" t="s">
        <v>96</v>
      </c>
      <c r="J281" s="20" t="s">
        <v>97</v>
      </c>
      <c r="K281" s="20" t="s">
        <v>98</v>
      </c>
      <c r="L281" s="20" t="s">
        <v>1975</v>
      </c>
      <c r="M281" s="20" t="s">
        <v>2011</v>
      </c>
      <c r="N281" s="20" t="s">
        <v>2024</v>
      </c>
      <c r="O281" s="20" t="s">
        <v>117</v>
      </c>
      <c r="P281" s="20">
        <v>1</v>
      </c>
      <c r="Q281" s="21">
        <v>46499.75</v>
      </c>
      <c r="R281" s="21">
        <v>46503.75</v>
      </c>
      <c r="S281" s="20">
        <f>NETWORKDAYS(Q281,R281)</f>
        <v>3</v>
      </c>
      <c r="T281" s="21" t="s">
        <v>37</v>
      </c>
      <c r="U281" s="21" t="s">
        <v>37</v>
      </c>
      <c r="V281" s="20" t="s">
        <v>102</v>
      </c>
      <c r="W281" s="22">
        <v>0</v>
      </c>
      <c r="X281" s="20" t="str">
        <f>IF(OR(V281="Completada",V281="No aplica"),"VERDE",IF(V281="Bloqueada","ROJO",IF(R281&lt;TODAY(),"ROJO",IF(AND(R281-TODAY()&lt;=7,W281&lt;1),"AMARILLO","GRIS"))))</f>
        <v>GRIS</v>
      </c>
      <c r="Y281" s="20" t="s">
        <v>37</v>
      </c>
    </row>
    <row r="282" ht="46" customHeight="1" spans="1:25" x14ac:dyDescent="0.25">
      <c r="A282" s="17" t="s">
        <v>2025</v>
      </c>
      <c r="B282" s="17" t="s">
        <v>1969</v>
      </c>
      <c r="C282" s="17" t="s">
        <v>62</v>
      </c>
      <c r="D282" s="17" t="s">
        <v>2026</v>
      </c>
      <c r="E282" s="17" t="s">
        <v>2027</v>
      </c>
      <c r="F282" s="17" t="s">
        <v>2028</v>
      </c>
      <c r="G282" s="17" t="s">
        <v>2029</v>
      </c>
      <c r="H282" s="17" t="s">
        <v>2030</v>
      </c>
      <c r="I282" s="17" t="s">
        <v>96</v>
      </c>
      <c r="J282" s="17" t="s">
        <v>97</v>
      </c>
      <c r="K282" s="17" t="s">
        <v>98</v>
      </c>
      <c r="L282" s="17" t="s">
        <v>1975</v>
      </c>
      <c r="M282" s="17" t="s">
        <v>2018</v>
      </c>
      <c r="N282" s="17" t="s">
        <v>2031</v>
      </c>
      <c r="O282" s="17" t="s">
        <v>117</v>
      </c>
      <c r="P282" s="17">
        <v>1</v>
      </c>
      <c r="Q282" s="18">
        <v>46504.75</v>
      </c>
      <c r="R282" s="18">
        <v>46506.75</v>
      </c>
      <c r="S282" s="17">
        <f>NETWORKDAYS(Q282,R282)</f>
        <v>3</v>
      </c>
      <c r="T282" s="18" t="s">
        <v>37</v>
      </c>
      <c r="U282" s="18" t="s">
        <v>37</v>
      </c>
      <c r="V282" s="17" t="s">
        <v>102</v>
      </c>
      <c r="W282" s="19">
        <v>0</v>
      </c>
      <c r="X282" s="17" t="str">
        <f>IF(OR(V282="Completada",V282="No aplica"),"VERDE",IF(V282="Bloqueada","ROJO",IF(R282&lt;TODAY(),"ROJO",IF(AND(R282-TODAY()&lt;=7,W282&lt;1),"AMARILLO","GRIS"))))</f>
        <v>GRIS</v>
      </c>
      <c r="Y282" s="17" t="s">
        <v>37</v>
      </c>
    </row>
    <row r="283" ht="46" customHeight="1" spans="1:25" x14ac:dyDescent="0.25">
      <c r="A283" s="20" t="s">
        <v>2032</v>
      </c>
      <c r="B283" s="20" t="s">
        <v>1969</v>
      </c>
      <c r="C283" s="20" t="s">
        <v>62</v>
      </c>
      <c r="D283" s="20" t="s">
        <v>2033</v>
      </c>
      <c r="E283" s="20" t="s">
        <v>2034</v>
      </c>
      <c r="F283" s="20" t="s">
        <v>2035</v>
      </c>
      <c r="G283" s="20" t="s">
        <v>2036</v>
      </c>
      <c r="H283" s="20" t="s">
        <v>2037</v>
      </c>
      <c r="I283" s="20" t="s">
        <v>96</v>
      </c>
      <c r="J283" s="20" t="s">
        <v>97</v>
      </c>
      <c r="K283" s="20" t="s">
        <v>98</v>
      </c>
      <c r="L283" s="20" t="s">
        <v>1975</v>
      </c>
      <c r="M283" s="20" t="s">
        <v>2025</v>
      </c>
      <c r="N283" s="20" t="s">
        <v>2038</v>
      </c>
      <c r="O283" s="20" t="s">
        <v>168</v>
      </c>
      <c r="P283" s="20">
        <v>3</v>
      </c>
      <c r="Q283" s="21">
        <v>46507.75</v>
      </c>
      <c r="R283" s="21">
        <v>46513.75</v>
      </c>
      <c r="S283" s="20">
        <f>NETWORKDAYS(Q283,R283)</f>
        <v>5</v>
      </c>
      <c r="T283" s="21" t="s">
        <v>37</v>
      </c>
      <c r="U283" s="21" t="s">
        <v>37</v>
      </c>
      <c r="V283" s="20" t="s">
        <v>102</v>
      </c>
      <c r="W283" s="22">
        <v>0</v>
      </c>
      <c r="X283" s="20" t="str">
        <f>IF(OR(V283="Completada",V283="No aplica"),"VERDE",IF(V283="Bloqueada","ROJO",IF(R283&lt;TODAY(),"ROJO",IF(AND(R283-TODAY()&lt;=7,W283&lt;1),"AMARILLO","GRIS"))))</f>
        <v>GRIS</v>
      </c>
      <c r="Y283" s="20" t="s">
        <v>37</v>
      </c>
    </row>
    <row r="284" ht="46" customHeight="1" spans="1:25" x14ac:dyDescent="0.25">
      <c r="A284" s="17" t="s">
        <v>2039</v>
      </c>
      <c r="B284" s="17" t="s">
        <v>1969</v>
      </c>
      <c r="C284" s="17" t="s">
        <v>62</v>
      </c>
      <c r="D284" s="17" t="s">
        <v>2040</v>
      </c>
      <c r="E284" s="17" t="s">
        <v>2041</v>
      </c>
      <c r="F284" s="17" t="s">
        <v>2042</v>
      </c>
      <c r="G284" s="17" t="s">
        <v>2043</v>
      </c>
      <c r="H284" s="17" t="s">
        <v>2044</v>
      </c>
      <c r="I284" s="17" t="s">
        <v>96</v>
      </c>
      <c r="J284" s="17" t="s">
        <v>97</v>
      </c>
      <c r="K284" s="17" t="s">
        <v>98</v>
      </c>
      <c r="L284" s="17" t="s">
        <v>1975</v>
      </c>
      <c r="M284" s="17" t="s">
        <v>2032</v>
      </c>
      <c r="N284" s="17" t="s">
        <v>2045</v>
      </c>
      <c r="O284" s="17" t="s">
        <v>117</v>
      </c>
      <c r="P284" s="17">
        <v>1</v>
      </c>
      <c r="Q284" s="18">
        <v>46514.75</v>
      </c>
      <c r="R284" s="18">
        <v>46518.75</v>
      </c>
      <c r="S284" s="17">
        <f>NETWORKDAYS(Q284,R284)</f>
        <v>3</v>
      </c>
      <c r="T284" s="18" t="s">
        <v>37</v>
      </c>
      <c r="U284" s="18" t="s">
        <v>37</v>
      </c>
      <c r="V284" s="17" t="s">
        <v>102</v>
      </c>
      <c r="W284" s="19">
        <v>0</v>
      </c>
      <c r="X284" s="17" t="str">
        <f>IF(OR(V284="Completada",V284="No aplica"),"VERDE",IF(V284="Bloqueada","ROJO",IF(R284&lt;TODAY(),"ROJO",IF(AND(R284-TODAY()&lt;=7,W284&lt;1),"AMARILLO","GRIS"))))</f>
        <v>GRIS</v>
      </c>
      <c r="Y284" s="17" t="s">
        <v>37</v>
      </c>
    </row>
    <row r="285" ht="46" customHeight="1" spans="1:25" x14ac:dyDescent="0.25">
      <c r="A285" s="20" t="s">
        <v>2046</v>
      </c>
      <c r="B285" s="20" t="s">
        <v>1969</v>
      </c>
      <c r="C285" s="20" t="s">
        <v>62</v>
      </c>
      <c r="D285" s="20" t="s">
        <v>2047</v>
      </c>
      <c r="E285" s="20" t="s">
        <v>2048</v>
      </c>
      <c r="F285" s="20" t="s">
        <v>2049</v>
      </c>
      <c r="G285" s="20" t="s">
        <v>2050</v>
      </c>
      <c r="H285" s="20" t="s">
        <v>2051</v>
      </c>
      <c r="I285" s="20" t="s">
        <v>96</v>
      </c>
      <c r="J285" s="20" t="s">
        <v>97</v>
      </c>
      <c r="K285" s="20" t="s">
        <v>98</v>
      </c>
      <c r="L285" s="20" t="s">
        <v>1975</v>
      </c>
      <c r="M285" s="20" t="s">
        <v>2039</v>
      </c>
      <c r="N285" s="20" t="s">
        <v>2052</v>
      </c>
      <c r="O285" s="20" t="s">
        <v>117</v>
      </c>
      <c r="P285" s="20">
        <v>1</v>
      </c>
      <c r="Q285" s="21">
        <v>46519.75</v>
      </c>
      <c r="R285" s="21">
        <v>46521.75</v>
      </c>
      <c r="S285" s="20">
        <f>NETWORKDAYS(Q285,R285)</f>
        <v>3</v>
      </c>
      <c r="T285" s="21" t="s">
        <v>37</v>
      </c>
      <c r="U285" s="21" t="s">
        <v>37</v>
      </c>
      <c r="V285" s="20" t="s">
        <v>102</v>
      </c>
      <c r="W285" s="22">
        <v>0</v>
      </c>
      <c r="X285" s="20" t="str">
        <f>IF(OR(V285="Completada",V285="No aplica"),"VERDE",IF(V285="Bloqueada","ROJO",IF(R285&lt;TODAY(),"ROJO",IF(AND(R285-TODAY()&lt;=7,W285&lt;1),"AMARILLO","GRIS"))))</f>
        <v>GRIS</v>
      </c>
      <c r="Y285" s="20" t="s">
        <v>37</v>
      </c>
    </row>
  </sheetData>
  <autoFilter ref="A5:Y285"/>
  <mergeCells count="2">
    <mergeCell ref="A1:Y1"/>
    <mergeCell ref="A2:Y2"/>
  </mergeCells>
  <conditionalFormatting sqref="X6:X285">
    <cfRule type="expression" dxfId="0" priority="1">
      <formula>$X6="VERDE"</formula>
    </cfRule>
    <cfRule type="expression" dxfId="1" priority="2">
      <formula>$X6="AMARILLO"</formula>
    </cfRule>
    <cfRule type="expression" dxfId="2" priority="3">
      <formula>$X6="ROJO"</formula>
    </cfRule>
  </conditionalFormatting>
  <conditionalFormatting sqref="W6:W285">
    <cfRule type="dataBar" priority="4">
      <dataBar>
        <cfvo type="num" val="0"/>
        <cfvo type="num" val="1"/>
        <color rgb="FF078464"/>
      </dataBar>
      <extLst>
        <ext xmlns:x14="http://schemas.microsoft.com/office/spreadsheetml/2009/9/main" uri="{B025F937-C7B1-47D3-B67F-A62EFF666E3E}">
          <x14:id>{C88A8D46-1785-4B66-B24C-F727F5B79519}</x14:id>
        </ext>
      </extLst>
    </cfRule>
  </conditionalFormatting>
  <dataValidations count="8">
    <dataValidation type="list" allowBlank="1" showErrorMessage="1" error="Seleccione un valor de la lista." sqref="K10:L285">
      <formula1>'99_Listas'!$F$2:$F$17</formula1>
    </dataValidation>
    <dataValidation type="list" allowBlank="1" showErrorMessage="1" error="Seleccione un valor de la lista." sqref="K6:L285">
      <formula1>'99_Listas'!$F$2:$F$17</formula1>
    </dataValidation>
    <dataValidation type="list" allowBlank="1" showErrorMessage="1" error="Seleccione un valor de la lista." sqref="O10:O285">
      <formula1>'99_Listas'!$B$2:$B$5</formula1>
    </dataValidation>
    <dataValidation type="list" allowBlank="1" showErrorMessage="1" error="Seleccione un valor de la lista." sqref="O6:O285">
      <formula1>'99_Listas'!$B$2:$B$5</formula1>
    </dataValidation>
    <dataValidation type="list" allowBlank="1" showErrorMessage="1" error="Seleccione un valor de la lista." sqref="V10:V285">
      <formula1>'99_Listas'!$A$2:$A$7</formula1>
    </dataValidation>
    <dataValidation type="list" allowBlank="1" showErrorMessage="1" error="Seleccione un valor de la lista." sqref="V6:V285">
      <formula1>'99_Listas'!$A$2:$A$7</formula1>
    </dataValidation>
    <dataValidation type="decimal" sqref="W10:W285">
      <formula1>0</formula1>
      <formula2>1</formula2>
    </dataValidation>
    <dataValidation type="decimal" sqref="W6:W285">
      <formula1>0</formula1>
      <formula2>1</formula2>
    </dataValidation>
  </dataValidations>
  <pageMargins left="0.25" right="0.25" top="0.55" bottom="0.55" header="0.2" footer="0.2"/>
  <pageSetup paperSize="9" orientation="landscape" fitToWidth="1" fitToHeight="0"/>
  <headerFooter>
    <oddHeader>&amp;LGENTIA ERP&amp;CPlan de implementación&amp;R&amp;D</oddHeader>
    <oddFooter>&amp;LDocumento de trabajo&amp;CConfidencial&amp;R Página &amp;P de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8A8D46-1785-4B66-B24C-F727F5B79519}">
            <x14:dataBar minLength="0" maxLength="100">
              <x14:cfvo type="num">
                <xm:f>0</xm:f>
              </x14:cfvo>
              <x14:cfvo type="num">
                <xm:f>1</xm:f>
              </x14:cfvo>
            </x14:dataBar>
          </x14:cfRule>
          <xm:sqref>W6:W285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0"/>
  <sheetViews>
    <sheetView workbookViewId="0" showGridLines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15" customWidth="1"/>
    <col min="4" max="11" width="16" customWidth="1"/>
    <col min="12" max="12" width="18" customWidth="1"/>
    <col min="13" max="14" width="14" customWidth="1"/>
    <col min="15" max="15" width="22" customWidth="1"/>
    <col min="16" max="16" width="32" customWidth="1"/>
  </cols>
  <sheetData>
    <row r="1" ht="34" customHeight="1" spans="1:16" x14ac:dyDescent="0.25">
      <c r="A1" s="8" t="s">
        <v>2053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ht="26" customHeight="1" spans="1:16" x14ac:dyDescent="0.25">
      <c r="A2" s="9" t="s">
        <v>2054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5" ht="32" customHeight="1" spans="1:16" x14ac:dyDescent="0.25">
      <c r="A5" s="14" t="s">
        <v>65</v>
      </c>
      <c r="B5" s="14" t="s">
        <v>2055</v>
      </c>
      <c r="C5" s="14" t="s">
        <v>2056</v>
      </c>
      <c r="D5" s="14" t="s">
        <v>2057</v>
      </c>
      <c r="E5" s="14" t="s">
        <v>2058</v>
      </c>
      <c r="F5" s="14" t="s">
        <v>42</v>
      </c>
      <c r="G5" s="14" t="s">
        <v>2059</v>
      </c>
      <c r="H5" s="14" t="s">
        <v>2060</v>
      </c>
      <c r="I5" s="14" t="s">
        <v>32</v>
      </c>
      <c r="J5" s="14" t="s">
        <v>2019</v>
      </c>
      <c r="K5" s="14" t="s">
        <v>2061</v>
      </c>
      <c r="L5" s="14" t="s">
        <v>2062</v>
      </c>
      <c r="M5" s="14" t="s">
        <v>2063</v>
      </c>
      <c r="N5" s="14" t="s">
        <v>2064</v>
      </c>
      <c r="O5" s="14" t="s">
        <v>2065</v>
      </c>
      <c r="P5" s="14" t="s">
        <v>88</v>
      </c>
    </row>
    <row r="6" ht="46" customHeight="1" spans="1:16" x14ac:dyDescent="0.25">
      <c r="A6" s="17" t="s">
        <v>2066</v>
      </c>
      <c r="B6" s="17" t="s">
        <v>2067</v>
      </c>
      <c r="C6" s="17" t="s">
        <v>37</v>
      </c>
      <c r="D6" s="17" t="s">
        <v>102</v>
      </c>
      <c r="E6" s="17" t="s">
        <v>102</v>
      </c>
      <c r="F6" s="17" t="s">
        <v>102</v>
      </c>
      <c r="G6" s="17" t="s">
        <v>102</v>
      </c>
      <c r="H6" s="17" t="s">
        <v>102</v>
      </c>
      <c r="I6" s="17" t="s">
        <v>102</v>
      </c>
      <c r="J6" s="17" t="s">
        <v>102</v>
      </c>
      <c r="K6" s="17" t="s">
        <v>102</v>
      </c>
      <c r="L6" s="17" t="s">
        <v>102</v>
      </c>
      <c r="M6" s="19">
        <f>COUNTIF(D6:K6,"Completada")/8</f>
        <v>0</v>
      </c>
      <c r="N6" s="18">
        <v>46496.75</v>
      </c>
      <c r="O6" s="17" t="s">
        <v>37</v>
      </c>
      <c r="P6" s="17" t="s">
        <v>37</v>
      </c>
    </row>
    <row r="7" ht="46" customHeight="1" spans="1:16" x14ac:dyDescent="0.25">
      <c r="A7" s="20" t="s">
        <v>2068</v>
      </c>
      <c r="B7" s="20" t="s">
        <v>2069</v>
      </c>
      <c r="C7" s="20" t="s">
        <v>37</v>
      </c>
      <c r="D7" s="20" t="s">
        <v>102</v>
      </c>
      <c r="E7" s="20" t="s">
        <v>102</v>
      </c>
      <c r="F7" s="20" t="s">
        <v>102</v>
      </c>
      <c r="G7" s="20" t="s">
        <v>102</v>
      </c>
      <c r="H7" s="20" t="s">
        <v>102</v>
      </c>
      <c r="I7" s="20" t="s">
        <v>102</v>
      </c>
      <c r="J7" s="20" t="s">
        <v>102</v>
      </c>
      <c r="K7" s="20" t="s">
        <v>102</v>
      </c>
      <c r="L7" s="20" t="s">
        <v>102</v>
      </c>
      <c r="M7" s="22">
        <f>COUNTIF(D7:K7,"Completada")/8</f>
        <v>0</v>
      </c>
      <c r="N7" s="21">
        <v>46496.75</v>
      </c>
      <c r="O7" s="20" t="s">
        <v>37</v>
      </c>
      <c r="P7" s="20" t="s">
        <v>37</v>
      </c>
    </row>
    <row r="8" ht="46" customHeight="1" spans="1:16" x14ac:dyDescent="0.25">
      <c r="A8" s="17" t="s">
        <v>2070</v>
      </c>
      <c r="B8" s="17" t="s">
        <v>2071</v>
      </c>
      <c r="C8" s="17" t="s">
        <v>37</v>
      </c>
      <c r="D8" s="17" t="s">
        <v>102</v>
      </c>
      <c r="E8" s="17" t="s">
        <v>102</v>
      </c>
      <c r="F8" s="17" t="s">
        <v>102</v>
      </c>
      <c r="G8" s="17" t="s">
        <v>102</v>
      </c>
      <c r="H8" s="17" t="s">
        <v>102</v>
      </c>
      <c r="I8" s="17" t="s">
        <v>102</v>
      </c>
      <c r="J8" s="17" t="s">
        <v>102</v>
      </c>
      <c r="K8" s="17" t="s">
        <v>102</v>
      </c>
      <c r="L8" s="17" t="s">
        <v>102</v>
      </c>
      <c r="M8" s="19">
        <f>COUNTIF(D8:K8,"Completada")/8</f>
        <v>0</v>
      </c>
      <c r="N8" s="18">
        <v>46496.75</v>
      </c>
      <c r="O8" s="17" t="s">
        <v>37</v>
      </c>
      <c r="P8" s="17" t="s">
        <v>37</v>
      </c>
    </row>
    <row r="9" ht="46" customHeight="1" spans="1:16" x14ac:dyDescent="0.25">
      <c r="A9" s="20" t="s">
        <v>2072</v>
      </c>
      <c r="B9" s="20" t="s">
        <v>2073</v>
      </c>
      <c r="C9" s="20" t="s">
        <v>37</v>
      </c>
      <c r="D9" s="20" t="s">
        <v>102</v>
      </c>
      <c r="E9" s="20" t="s">
        <v>102</v>
      </c>
      <c r="F9" s="20" t="s">
        <v>102</v>
      </c>
      <c r="G9" s="20" t="s">
        <v>102</v>
      </c>
      <c r="H9" s="20" t="s">
        <v>102</v>
      </c>
      <c r="I9" s="20" t="s">
        <v>102</v>
      </c>
      <c r="J9" s="20" t="s">
        <v>102</v>
      </c>
      <c r="K9" s="20" t="s">
        <v>102</v>
      </c>
      <c r="L9" s="20" t="s">
        <v>102</v>
      </c>
      <c r="M9" s="22">
        <f>COUNTIF(D9:K9,"Completada")/8</f>
        <v>0</v>
      </c>
      <c r="N9" s="21">
        <v>46496.75</v>
      </c>
      <c r="O9" s="20" t="s">
        <v>37</v>
      </c>
      <c r="P9" s="20" t="s">
        <v>37</v>
      </c>
    </row>
    <row r="10" ht="46" customHeight="1" spans="1:16" x14ac:dyDescent="0.25">
      <c r="A10" s="17" t="s">
        <v>2074</v>
      </c>
      <c r="B10" s="17" t="s">
        <v>2075</v>
      </c>
      <c r="C10" s="17" t="s">
        <v>37</v>
      </c>
      <c r="D10" s="17" t="s">
        <v>102</v>
      </c>
      <c r="E10" s="17" t="s">
        <v>102</v>
      </c>
      <c r="F10" s="17" t="s">
        <v>102</v>
      </c>
      <c r="G10" s="17" t="s">
        <v>102</v>
      </c>
      <c r="H10" s="17" t="s">
        <v>102</v>
      </c>
      <c r="I10" s="17" t="s">
        <v>102</v>
      </c>
      <c r="J10" s="17" t="s">
        <v>102</v>
      </c>
      <c r="K10" s="17" t="s">
        <v>102</v>
      </c>
      <c r="L10" s="17" t="s">
        <v>102</v>
      </c>
      <c r="M10" s="19">
        <f>COUNTIF(D10:K10,"Completada")/8</f>
        <v>0</v>
      </c>
      <c r="N10" s="18">
        <v>46496.75</v>
      </c>
      <c r="O10" s="17" t="s">
        <v>37</v>
      </c>
      <c r="P10" s="17" t="s">
        <v>37</v>
      </c>
    </row>
    <row r="11" ht="46" customHeight="1" spans="1:16" x14ac:dyDescent="0.25">
      <c r="A11" s="20" t="s">
        <v>2076</v>
      </c>
      <c r="B11" s="20" t="s">
        <v>2077</v>
      </c>
      <c r="C11" s="20" t="s">
        <v>37</v>
      </c>
      <c r="D11" s="20" t="s">
        <v>102</v>
      </c>
      <c r="E11" s="20" t="s">
        <v>102</v>
      </c>
      <c r="F11" s="20" t="s">
        <v>102</v>
      </c>
      <c r="G11" s="20" t="s">
        <v>102</v>
      </c>
      <c r="H11" s="20" t="s">
        <v>102</v>
      </c>
      <c r="I11" s="20" t="s">
        <v>102</v>
      </c>
      <c r="J11" s="20" t="s">
        <v>102</v>
      </c>
      <c r="K11" s="20" t="s">
        <v>102</v>
      </c>
      <c r="L11" s="20" t="s">
        <v>102</v>
      </c>
      <c r="M11" s="22">
        <f>COUNTIF(D11:K11,"Completada")/8</f>
        <v>0</v>
      </c>
      <c r="N11" s="21">
        <v>46496.75</v>
      </c>
      <c r="O11" s="20" t="s">
        <v>37</v>
      </c>
      <c r="P11" s="20" t="s">
        <v>37</v>
      </c>
    </row>
    <row r="12" ht="46" customHeight="1" spans="1:16" x14ac:dyDescent="0.25">
      <c r="A12" s="17" t="s">
        <v>2078</v>
      </c>
      <c r="B12" s="17" t="s">
        <v>2079</v>
      </c>
      <c r="C12" s="17" t="s">
        <v>37</v>
      </c>
      <c r="D12" s="17" t="s">
        <v>102</v>
      </c>
      <c r="E12" s="17" t="s">
        <v>102</v>
      </c>
      <c r="F12" s="17" t="s">
        <v>102</v>
      </c>
      <c r="G12" s="17" t="s">
        <v>102</v>
      </c>
      <c r="H12" s="17" t="s">
        <v>102</v>
      </c>
      <c r="I12" s="17" t="s">
        <v>102</v>
      </c>
      <c r="J12" s="17" t="s">
        <v>102</v>
      </c>
      <c r="K12" s="17" t="s">
        <v>102</v>
      </c>
      <c r="L12" s="17" t="s">
        <v>102</v>
      </c>
      <c r="M12" s="19">
        <f>COUNTIF(D12:K12,"Completada")/8</f>
        <v>0</v>
      </c>
      <c r="N12" s="18">
        <v>46496.75</v>
      </c>
      <c r="O12" s="17" t="s">
        <v>37</v>
      </c>
      <c r="P12" s="17" t="s">
        <v>37</v>
      </c>
    </row>
    <row r="13" ht="46" customHeight="1" spans="1:16" x14ac:dyDescent="0.25">
      <c r="A13" s="20" t="s">
        <v>2080</v>
      </c>
      <c r="B13" s="20" t="s">
        <v>2081</v>
      </c>
      <c r="C13" s="20" t="s">
        <v>37</v>
      </c>
      <c r="D13" s="20" t="s">
        <v>102</v>
      </c>
      <c r="E13" s="20" t="s">
        <v>102</v>
      </c>
      <c r="F13" s="20" t="s">
        <v>102</v>
      </c>
      <c r="G13" s="20" t="s">
        <v>102</v>
      </c>
      <c r="H13" s="20" t="s">
        <v>102</v>
      </c>
      <c r="I13" s="20" t="s">
        <v>102</v>
      </c>
      <c r="J13" s="20" t="s">
        <v>102</v>
      </c>
      <c r="K13" s="20" t="s">
        <v>102</v>
      </c>
      <c r="L13" s="20" t="s">
        <v>102</v>
      </c>
      <c r="M13" s="22">
        <f>COUNTIF(D13:K13,"Completada")/8</f>
        <v>0</v>
      </c>
      <c r="N13" s="21">
        <v>46496.75</v>
      </c>
      <c r="O13" s="20" t="s">
        <v>37</v>
      </c>
      <c r="P13" s="20" t="s">
        <v>37</v>
      </c>
    </row>
    <row r="14" ht="46" customHeight="1" spans="1:16" x14ac:dyDescent="0.25">
      <c r="A14" s="17" t="s">
        <v>2082</v>
      </c>
      <c r="B14" s="17" t="s">
        <v>2083</v>
      </c>
      <c r="C14" s="17" t="s">
        <v>37</v>
      </c>
      <c r="D14" s="17" t="s">
        <v>102</v>
      </c>
      <c r="E14" s="17" t="s">
        <v>102</v>
      </c>
      <c r="F14" s="17" t="s">
        <v>102</v>
      </c>
      <c r="G14" s="17" t="s">
        <v>102</v>
      </c>
      <c r="H14" s="17" t="s">
        <v>102</v>
      </c>
      <c r="I14" s="17" t="s">
        <v>102</v>
      </c>
      <c r="J14" s="17" t="s">
        <v>102</v>
      </c>
      <c r="K14" s="17" t="s">
        <v>102</v>
      </c>
      <c r="L14" s="17" t="s">
        <v>102</v>
      </c>
      <c r="M14" s="19">
        <f>COUNTIF(D14:K14,"Completada")/8</f>
        <v>0</v>
      </c>
      <c r="N14" s="18">
        <v>46496.75</v>
      </c>
      <c r="O14" s="17" t="s">
        <v>37</v>
      </c>
      <c r="P14" s="17" t="s">
        <v>37</v>
      </c>
    </row>
    <row r="15" ht="46" customHeight="1" spans="1:16" x14ac:dyDescent="0.25">
      <c r="A15" s="20" t="s">
        <v>2084</v>
      </c>
      <c r="B15" s="20" t="s">
        <v>2085</v>
      </c>
      <c r="C15" s="20" t="s">
        <v>37</v>
      </c>
      <c r="D15" s="20" t="s">
        <v>102</v>
      </c>
      <c r="E15" s="20" t="s">
        <v>102</v>
      </c>
      <c r="F15" s="20" t="s">
        <v>102</v>
      </c>
      <c r="G15" s="20" t="s">
        <v>102</v>
      </c>
      <c r="H15" s="20" t="s">
        <v>102</v>
      </c>
      <c r="I15" s="20" t="s">
        <v>102</v>
      </c>
      <c r="J15" s="20" t="s">
        <v>102</v>
      </c>
      <c r="K15" s="20" t="s">
        <v>102</v>
      </c>
      <c r="L15" s="20" t="s">
        <v>102</v>
      </c>
      <c r="M15" s="22">
        <f>COUNTIF(D15:K15,"Completada")/8</f>
        <v>0</v>
      </c>
      <c r="N15" s="21">
        <v>46496.75</v>
      </c>
      <c r="O15" s="20" t="s">
        <v>37</v>
      </c>
      <c r="P15" s="20" t="s">
        <v>37</v>
      </c>
    </row>
    <row r="16" ht="46" customHeight="1" spans="1:16" x14ac:dyDescent="0.25">
      <c r="A16" s="17" t="s">
        <v>2086</v>
      </c>
      <c r="B16" s="17" t="s">
        <v>2087</v>
      </c>
      <c r="C16" s="17" t="s">
        <v>37</v>
      </c>
      <c r="D16" s="17" t="s">
        <v>102</v>
      </c>
      <c r="E16" s="17" t="s">
        <v>102</v>
      </c>
      <c r="F16" s="17" t="s">
        <v>102</v>
      </c>
      <c r="G16" s="17" t="s">
        <v>102</v>
      </c>
      <c r="H16" s="17" t="s">
        <v>102</v>
      </c>
      <c r="I16" s="17" t="s">
        <v>102</v>
      </c>
      <c r="J16" s="17" t="s">
        <v>102</v>
      </c>
      <c r="K16" s="17" t="s">
        <v>102</v>
      </c>
      <c r="L16" s="17" t="s">
        <v>102</v>
      </c>
      <c r="M16" s="19">
        <f>COUNTIF(D16:K16,"Completada")/8</f>
        <v>0</v>
      </c>
      <c r="N16" s="18">
        <v>46496.75</v>
      </c>
      <c r="O16" s="17" t="s">
        <v>37</v>
      </c>
      <c r="P16" s="17" t="s">
        <v>37</v>
      </c>
    </row>
    <row r="17" ht="46" customHeight="1" spans="1:16" x14ac:dyDescent="0.25">
      <c r="A17" s="20" t="s">
        <v>2088</v>
      </c>
      <c r="B17" s="20" t="s">
        <v>2089</v>
      </c>
      <c r="C17" s="20" t="s">
        <v>37</v>
      </c>
      <c r="D17" s="20" t="s">
        <v>102</v>
      </c>
      <c r="E17" s="20" t="s">
        <v>102</v>
      </c>
      <c r="F17" s="20" t="s">
        <v>102</v>
      </c>
      <c r="G17" s="20" t="s">
        <v>102</v>
      </c>
      <c r="H17" s="20" t="s">
        <v>102</v>
      </c>
      <c r="I17" s="20" t="s">
        <v>102</v>
      </c>
      <c r="J17" s="20" t="s">
        <v>102</v>
      </c>
      <c r="K17" s="20" t="s">
        <v>102</v>
      </c>
      <c r="L17" s="20" t="s">
        <v>102</v>
      </c>
      <c r="M17" s="22">
        <f>COUNTIF(D17:K17,"Completada")/8</f>
        <v>0</v>
      </c>
      <c r="N17" s="21">
        <v>46496.75</v>
      </c>
      <c r="O17" s="20" t="s">
        <v>37</v>
      </c>
      <c r="P17" s="20" t="s">
        <v>37</v>
      </c>
    </row>
    <row r="18" ht="46" customHeight="1" spans="1:16" x14ac:dyDescent="0.25">
      <c r="A18" s="17" t="s">
        <v>2090</v>
      </c>
      <c r="B18" s="17" t="s">
        <v>2091</v>
      </c>
      <c r="C18" s="17" t="s">
        <v>37</v>
      </c>
      <c r="D18" s="17" t="s">
        <v>102</v>
      </c>
      <c r="E18" s="17" t="s">
        <v>102</v>
      </c>
      <c r="F18" s="17" t="s">
        <v>102</v>
      </c>
      <c r="G18" s="17" t="s">
        <v>102</v>
      </c>
      <c r="H18" s="17" t="s">
        <v>102</v>
      </c>
      <c r="I18" s="17" t="s">
        <v>102</v>
      </c>
      <c r="J18" s="17" t="s">
        <v>102</v>
      </c>
      <c r="K18" s="17" t="s">
        <v>102</v>
      </c>
      <c r="L18" s="17" t="s">
        <v>102</v>
      </c>
      <c r="M18" s="19">
        <f>COUNTIF(D18:K18,"Completada")/8</f>
        <v>0</v>
      </c>
      <c r="N18" s="18">
        <v>46496.75</v>
      </c>
      <c r="O18" s="17" t="s">
        <v>37</v>
      </c>
      <c r="P18" s="17" t="s">
        <v>37</v>
      </c>
    </row>
    <row r="19" ht="46" customHeight="1" spans="1:16" x14ac:dyDescent="0.25">
      <c r="A19" s="20" t="s">
        <v>2092</v>
      </c>
      <c r="B19" s="20" t="s">
        <v>2093</v>
      </c>
      <c r="C19" s="20" t="s">
        <v>37</v>
      </c>
      <c r="D19" s="20" t="s">
        <v>102</v>
      </c>
      <c r="E19" s="20" t="s">
        <v>102</v>
      </c>
      <c r="F19" s="20" t="s">
        <v>102</v>
      </c>
      <c r="G19" s="20" t="s">
        <v>102</v>
      </c>
      <c r="H19" s="20" t="s">
        <v>102</v>
      </c>
      <c r="I19" s="20" t="s">
        <v>102</v>
      </c>
      <c r="J19" s="20" t="s">
        <v>102</v>
      </c>
      <c r="K19" s="20" t="s">
        <v>102</v>
      </c>
      <c r="L19" s="20" t="s">
        <v>102</v>
      </c>
      <c r="M19" s="22">
        <f>COUNTIF(D19:K19,"Completada")/8</f>
        <v>0</v>
      </c>
      <c r="N19" s="21">
        <v>46496.75</v>
      </c>
      <c r="O19" s="20" t="s">
        <v>37</v>
      </c>
      <c r="P19" s="20" t="s">
        <v>37</v>
      </c>
    </row>
    <row r="20" ht="46" customHeight="1" spans="1:16" x14ac:dyDescent="0.25">
      <c r="A20" s="17" t="s">
        <v>2094</v>
      </c>
      <c r="B20" s="17" t="s">
        <v>2095</v>
      </c>
      <c r="C20" s="17" t="s">
        <v>37</v>
      </c>
      <c r="D20" s="17" t="s">
        <v>102</v>
      </c>
      <c r="E20" s="17" t="s">
        <v>102</v>
      </c>
      <c r="F20" s="17" t="s">
        <v>102</v>
      </c>
      <c r="G20" s="17" t="s">
        <v>102</v>
      </c>
      <c r="H20" s="17" t="s">
        <v>102</v>
      </c>
      <c r="I20" s="17" t="s">
        <v>102</v>
      </c>
      <c r="J20" s="17" t="s">
        <v>102</v>
      </c>
      <c r="K20" s="17" t="s">
        <v>102</v>
      </c>
      <c r="L20" s="17" t="s">
        <v>102</v>
      </c>
      <c r="M20" s="19">
        <f>COUNTIF(D20:K20,"Completada")/8</f>
        <v>0</v>
      </c>
      <c r="N20" s="18">
        <v>46496.75</v>
      </c>
      <c r="O20" s="17" t="s">
        <v>37</v>
      </c>
      <c r="P20" s="17" t="s">
        <v>37</v>
      </c>
    </row>
    <row r="21" ht="46" customHeight="1" spans="1:16" x14ac:dyDescent="0.25">
      <c r="A21" s="20" t="s">
        <v>2096</v>
      </c>
      <c r="B21" s="20" t="s">
        <v>2097</v>
      </c>
      <c r="C21" s="20" t="s">
        <v>37</v>
      </c>
      <c r="D21" s="20" t="s">
        <v>102</v>
      </c>
      <c r="E21" s="20" t="s">
        <v>102</v>
      </c>
      <c r="F21" s="20" t="s">
        <v>102</v>
      </c>
      <c r="G21" s="20" t="s">
        <v>102</v>
      </c>
      <c r="H21" s="20" t="s">
        <v>102</v>
      </c>
      <c r="I21" s="20" t="s">
        <v>102</v>
      </c>
      <c r="J21" s="20" t="s">
        <v>102</v>
      </c>
      <c r="K21" s="20" t="s">
        <v>102</v>
      </c>
      <c r="L21" s="20" t="s">
        <v>102</v>
      </c>
      <c r="M21" s="22">
        <f>COUNTIF(D21:K21,"Completada")/8</f>
        <v>0</v>
      </c>
      <c r="N21" s="21">
        <v>46496.75</v>
      </c>
      <c r="O21" s="20" t="s">
        <v>37</v>
      </c>
      <c r="P21" s="20" t="s">
        <v>37</v>
      </c>
    </row>
    <row r="22" ht="46" customHeight="1" spans="1:16" x14ac:dyDescent="0.25">
      <c r="A22" s="17" t="s">
        <v>2098</v>
      </c>
      <c r="B22" s="17" t="s">
        <v>2099</v>
      </c>
      <c r="C22" s="17" t="s">
        <v>37</v>
      </c>
      <c r="D22" s="17" t="s">
        <v>102</v>
      </c>
      <c r="E22" s="17" t="s">
        <v>102</v>
      </c>
      <c r="F22" s="17" t="s">
        <v>102</v>
      </c>
      <c r="G22" s="17" t="s">
        <v>102</v>
      </c>
      <c r="H22" s="17" t="s">
        <v>102</v>
      </c>
      <c r="I22" s="17" t="s">
        <v>102</v>
      </c>
      <c r="J22" s="17" t="s">
        <v>102</v>
      </c>
      <c r="K22" s="17" t="s">
        <v>102</v>
      </c>
      <c r="L22" s="17" t="s">
        <v>102</v>
      </c>
      <c r="M22" s="19">
        <f>COUNTIF(D22:K22,"Completada")/8</f>
        <v>0</v>
      </c>
      <c r="N22" s="18">
        <v>46496.75</v>
      </c>
      <c r="O22" s="17" t="s">
        <v>37</v>
      </c>
      <c r="P22" s="17" t="s">
        <v>37</v>
      </c>
    </row>
    <row r="23" ht="46" customHeight="1" spans="1:16" x14ac:dyDescent="0.25">
      <c r="A23" s="20" t="s">
        <v>2100</v>
      </c>
      <c r="B23" s="20" t="s">
        <v>2101</v>
      </c>
      <c r="C23" s="20" t="s">
        <v>37</v>
      </c>
      <c r="D23" s="20" t="s">
        <v>102</v>
      </c>
      <c r="E23" s="20" t="s">
        <v>102</v>
      </c>
      <c r="F23" s="20" t="s">
        <v>102</v>
      </c>
      <c r="G23" s="20" t="s">
        <v>102</v>
      </c>
      <c r="H23" s="20" t="s">
        <v>102</v>
      </c>
      <c r="I23" s="20" t="s">
        <v>102</v>
      </c>
      <c r="J23" s="20" t="s">
        <v>102</v>
      </c>
      <c r="K23" s="20" t="s">
        <v>102</v>
      </c>
      <c r="L23" s="20" t="s">
        <v>102</v>
      </c>
      <c r="M23" s="22">
        <f>COUNTIF(D23:K23,"Completada")/8</f>
        <v>0</v>
      </c>
      <c r="N23" s="21">
        <v>46496.75</v>
      </c>
      <c r="O23" s="20" t="s">
        <v>37</v>
      </c>
      <c r="P23" s="20" t="s">
        <v>37</v>
      </c>
    </row>
    <row r="24" ht="46" customHeight="1" spans="1:16" x14ac:dyDescent="0.25">
      <c r="A24" s="17" t="s">
        <v>2102</v>
      </c>
      <c r="B24" s="17" t="s">
        <v>2103</v>
      </c>
      <c r="C24" s="17" t="s">
        <v>37</v>
      </c>
      <c r="D24" s="17" t="s">
        <v>102</v>
      </c>
      <c r="E24" s="17" t="s">
        <v>102</v>
      </c>
      <c r="F24" s="17" t="s">
        <v>102</v>
      </c>
      <c r="G24" s="17" t="s">
        <v>102</v>
      </c>
      <c r="H24" s="17" t="s">
        <v>102</v>
      </c>
      <c r="I24" s="17" t="s">
        <v>102</v>
      </c>
      <c r="J24" s="17" t="s">
        <v>102</v>
      </c>
      <c r="K24" s="17" t="s">
        <v>102</v>
      </c>
      <c r="L24" s="17" t="s">
        <v>102</v>
      </c>
      <c r="M24" s="19">
        <f>COUNTIF(D24:K24,"Completada")/8</f>
        <v>0</v>
      </c>
      <c r="N24" s="18">
        <v>46496.75</v>
      </c>
      <c r="O24" s="17" t="s">
        <v>37</v>
      </c>
      <c r="P24" s="17" t="s">
        <v>37</v>
      </c>
    </row>
    <row r="25" ht="46" customHeight="1" spans="1:16" x14ac:dyDescent="0.25">
      <c r="A25" s="20" t="s">
        <v>2104</v>
      </c>
      <c r="B25" s="20" t="s">
        <v>2105</v>
      </c>
      <c r="C25" s="20" t="s">
        <v>37</v>
      </c>
      <c r="D25" s="20" t="s">
        <v>102</v>
      </c>
      <c r="E25" s="20" t="s">
        <v>102</v>
      </c>
      <c r="F25" s="20" t="s">
        <v>102</v>
      </c>
      <c r="G25" s="20" t="s">
        <v>102</v>
      </c>
      <c r="H25" s="20" t="s">
        <v>102</v>
      </c>
      <c r="I25" s="20" t="s">
        <v>102</v>
      </c>
      <c r="J25" s="20" t="s">
        <v>102</v>
      </c>
      <c r="K25" s="20" t="s">
        <v>102</v>
      </c>
      <c r="L25" s="20" t="s">
        <v>102</v>
      </c>
      <c r="M25" s="22">
        <f>COUNTIF(D25:K25,"Completada")/8</f>
        <v>0</v>
      </c>
      <c r="N25" s="21">
        <v>46496.75</v>
      </c>
      <c r="O25" s="20" t="s">
        <v>37</v>
      </c>
      <c r="P25" s="20" t="s">
        <v>37</v>
      </c>
    </row>
    <row r="26" ht="46" customHeight="1" spans="1:16" x14ac:dyDescent="0.25">
      <c r="A26" s="17" t="s">
        <v>2106</v>
      </c>
      <c r="B26" s="17" t="s">
        <v>2107</v>
      </c>
      <c r="C26" s="17" t="s">
        <v>37</v>
      </c>
      <c r="D26" s="17" t="s">
        <v>102</v>
      </c>
      <c r="E26" s="17" t="s">
        <v>102</v>
      </c>
      <c r="F26" s="17" t="s">
        <v>102</v>
      </c>
      <c r="G26" s="17" t="s">
        <v>102</v>
      </c>
      <c r="H26" s="17" t="s">
        <v>102</v>
      </c>
      <c r="I26" s="17" t="s">
        <v>102</v>
      </c>
      <c r="J26" s="17" t="s">
        <v>102</v>
      </c>
      <c r="K26" s="17" t="s">
        <v>102</v>
      </c>
      <c r="L26" s="17" t="s">
        <v>102</v>
      </c>
      <c r="M26" s="19">
        <f>COUNTIF(D26:K26,"Completada")/8</f>
        <v>0</v>
      </c>
      <c r="N26" s="18">
        <v>46496.75</v>
      </c>
      <c r="O26" s="17" t="s">
        <v>37</v>
      </c>
      <c r="P26" s="17" t="s">
        <v>37</v>
      </c>
    </row>
    <row r="27" ht="46" customHeight="1" spans="1:16" x14ac:dyDescent="0.25">
      <c r="A27" s="20" t="s">
        <v>2108</v>
      </c>
      <c r="B27" s="20" t="s">
        <v>2109</v>
      </c>
      <c r="C27" s="20" t="s">
        <v>37</v>
      </c>
      <c r="D27" s="20" t="s">
        <v>102</v>
      </c>
      <c r="E27" s="20" t="s">
        <v>102</v>
      </c>
      <c r="F27" s="20" t="s">
        <v>102</v>
      </c>
      <c r="G27" s="20" t="s">
        <v>102</v>
      </c>
      <c r="H27" s="20" t="s">
        <v>102</v>
      </c>
      <c r="I27" s="20" t="s">
        <v>102</v>
      </c>
      <c r="J27" s="20" t="s">
        <v>102</v>
      </c>
      <c r="K27" s="20" t="s">
        <v>102</v>
      </c>
      <c r="L27" s="20" t="s">
        <v>102</v>
      </c>
      <c r="M27" s="22">
        <f>COUNTIF(D27:K27,"Completada")/8</f>
        <v>0</v>
      </c>
      <c r="N27" s="21">
        <v>46496.75</v>
      </c>
      <c r="O27" s="20" t="s">
        <v>37</v>
      </c>
      <c r="P27" s="20" t="s">
        <v>37</v>
      </c>
    </row>
    <row r="28" ht="46" customHeight="1" spans="1:16" x14ac:dyDescent="0.25">
      <c r="A28" s="17" t="s">
        <v>2110</v>
      </c>
      <c r="B28" s="17" t="s">
        <v>2111</v>
      </c>
      <c r="C28" s="17" t="s">
        <v>37</v>
      </c>
      <c r="D28" s="17" t="s">
        <v>102</v>
      </c>
      <c r="E28" s="17" t="s">
        <v>102</v>
      </c>
      <c r="F28" s="17" t="s">
        <v>102</v>
      </c>
      <c r="G28" s="17" t="s">
        <v>102</v>
      </c>
      <c r="H28" s="17" t="s">
        <v>102</v>
      </c>
      <c r="I28" s="17" t="s">
        <v>102</v>
      </c>
      <c r="J28" s="17" t="s">
        <v>102</v>
      </c>
      <c r="K28" s="17" t="s">
        <v>102</v>
      </c>
      <c r="L28" s="17" t="s">
        <v>102</v>
      </c>
      <c r="M28" s="19">
        <f>COUNTIF(D28:K28,"Completada")/8</f>
        <v>0</v>
      </c>
      <c r="N28" s="18">
        <v>46496.75</v>
      </c>
      <c r="O28" s="17" t="s">
        <v>37</v>
      </c>
      <c r="P28" s="17" t="s">
        <v>37</v>
      </c>
    </row>
    <row r="29" ht="46" customHeight="1" spans="1:16" x14ac:dyDescent="0.25">
      <c r="A29" s="20" t="s">
        <v>2112</v>
      </c>
      <c r="B29" s="20" t="s">
        <v>2113</v>
      </c>
      <c r="C29" s="20" t="s">
        <v>37</v>
      </c>
      <c r="D29" s="20" t="s">
        <v>102</v>
      </c>
      <c r="E29" s="20" t="s">
        <v>102</v>
      </c>
      <c r="F29" s="20" t="s">
        <v>102</v>
      </c>
      <c r="G29" s="20" t="s">
        <v>102</v>
      </c>
      <c r="H29" s="20" t="s">
        <v>102</v>
      </c>
      <c r="I29" s="20" t="s">
        <v>102</v>
      </c>
      <c r="J29" s="20" t="s">
        <v>102</v>
      </c>
      <c r="K29" s="20" t="s">
        <v>102</v>
      </c>
      <c r="L29" s="20" t="s">
        <v>102</v>
      </c>
      <c r="M29" s="22">
        <f>COUNTIF(D29:K29,"Completada")/8</f>
        <v>0</v>
      </c>
      <c r="N29" s="21">
        <v>46496.75</v>
      </c>
      <c r="O29" s="20" t="s">
        <v>37</v>
      </c>
      <c r="P29" s="20" t="s">
        <v>37</v>
      </c>
    </row>
    <row r="30" ht="46" customHeight="1" spans="1:16" x14ac:dyDescent="0.25">
      <c r="A30" s="17" t="s">
        <v>2114</v>
      </c>
      <c r="B30" s="17" t="s">
        <v>2115</v>
      </c>
      <c r="C30" s="17" t="s">
        <v>37</v>
      </c>
      <c r="D30" s="17" t="s">
        <v>102</v>
      </c>
      <c r="E30" s="17" t="s">
        <v>102</v>
      </c>
      <c r="F30" s="17" t="s">
        <v>102</v>
      </c>
      <c r="G30" s="17" t="s">
        <v>102</v>
      </c>
      <c r="H30" s="17" t="s">
        <v>102</v>
      </c>
      <c r="I30" s="17" t="s">
        <v>102</v>
      </c>
      <c r="J30" s="17" t="s">
        <v>102</v>
      </c>
      <c r="K30" s="17" t="s">
        <v>102</v>
      </c>
      <c r="L30" s="17" t="s">
        <v>102</v>
      </c>
      <c r="M30" s="19">
        <f>COUNTIF(D30:K30,"Completada")/8</f>
        <v>0</v>
      </c>
      <c r="N30" s="18">
        <v>46496.75</v>
      </c>
      <c r="O30" s="17" t="s">
        <v>37</v>
      </c>
      <c r="P30" s="17" t="s">
        <v>37</v>
      </c>
    </row>
    <row r="31" ht="46" customHeight="1" spans="1:16" x14ac:dyDescent="0.25">
      <c r="A31" s="20" t="s">
        <v>2116</v>
      </c>
      <c r="B31" s="20" t="s">
        <v>2117</v>
      </c>
      <c r="C31" s="20" t="s">
        <v>37</v>
      </c>
      <c r="D31" s="20" t="s">
        <v>102</v>
      </c>
      <c r="E31" s="20" t="s">
        <v>102</v>
      </c>
      <c r="F31" s="20" t="s">
        <v>102</v>
      </c>
      <c r="G31" s="20" t="s">
        <v>102</v>
      </c>
      <c r="H31" s="20" t="s">
        <v>102</v>
      </c>
      <c r="I31" s="20" t="s">
        <v>102</v>
      </c>
      <c r="J31" s="20" t="s">
        <v>102</v>
      </c>
      <c r="K31" s="20" t="s">
        <v>102</v>
      </c>
      <c r="L31" s="20" t="s">
        <v>102</v>
      </c>
      <c r="M31" s="22">
        <f>COUNTIF(D31:K31,"Completada")/8</f>
        <v>0</v>
      </c>
      <c r="N31" s="21">
        <v>46496.75</v>
      </c>
      <c r="O31" s="20" t="s">
        <v>37</v>
      </c>
      <c r="P31" s="20" t="s">
        <v>37</v>
      </c>
    </row>
    <row r="32" ht="46" customHeight="1" spans="1:16" x14ac:dyDescent="0.25">
      <c r="A32" s="17" t="s">
        <v>2118</v>
      </c>
      <c r="B32" s="17" t="s">
        <v>2119</v>
      </c>
      <c r="C32" s="17" t="s">
        <v>37</v>
      </c>
      <c r="D32" s="17" t="s">
        <v>102</v>
      </c>
      <c r="E32" s="17" t="s">
        <v>102</v>
      </c>
      <c r="F32" s="17" t="s">
        <v>102</v>
      </c>
      <c r="G32" s="17" t="s">
        <v>102</v>
      </c>
      <c r="H32" s="17" t="s">
        <v>102</v>
      </c>
      <c r="I32" s="17" t="s">
        <v>102</v>
      </c>
      <c r="J32" s="17" t="s">
        <v>102</v>
      </c>
      <c r="K32" s="17" t="s">
        <v>102</v>
      </c>
      <c r="L32" s="17" t="s">
        <v>102</v>
      </c>
      <c r="M32" s="19">
        <f>COUNTIF(D32:K32,"Completada")/8</f>
        <v>0</v>
      </c>
      <c r="N32" s="18">
        <v>46496.75</v>
      </c>
      <c r="O32" s="17" t="s">
        <v>37</v>
      </c>
      <c r="P32" s="17" t="s">
        <v>37</v>
      </c>
    </row>
    <row r="33" ht="46" customHeight="1" spans="1:16" x14ac:dyDescent="0.25">
      <c r="A33" s="20" t="s">
        <v>2120</v>
      </c>
      <c r="B33" s="20" t="s">
        <v>2121</v>
      </c>
      <c r="C33" s="20" t="s">
        <v>37</v>
      </c>
      <c r="D33" s="20" t="s">
        <v>102</v>
      </c>
      <c r="E33" s="20" t="s">
        <v>102</v>
      </c>
      <c r="F33" s="20" t="s">
        <v>102</v>
      </c>
      <c r="G33" s="20" t="s">
        <v>102</v>
      </c>
      <c r="H33" s="20" t="s">
        <v>102</v>
      </c>
      <c r="I33" s="20" t="s">
        <v>102</v>
      </c>
      <c r="J33" s="20" t="s">
        <v>102</v>
      </c>
      <c r="K33" s="20" t="s">
        <v>102</v>
      </c>
      <c r="L33" s="20" t="s">
        <v>102</v>
      </c>
      <c r="M33" s="22">
        <f>COUNTIF(D33:K33,"Completada")/8</f>
        <v>0</v>
      </c>
      <c r="N33" s="21">
        <v>46496.75</v>
      </c>
      <c r="O33" s="20" t="s">
        <v>37</v>
      </c>
      <c r="P33" s="20" t="s">
        <v>37</v>
      </c>
    </row>
    <row r="34" ht="46" customHeight="1" spans="1:16" x14ac:dyDescent="0.25">
      <c r="A34" s="17" t="s">
        <v>2122</v>
      </c>
      <c r="B34" s="17" t="s">
        <v>2123</v>
      </c>
      <c r="C34" s="17" t="s">
        <v>37</v>
      </c>
      <c r="D34" s="17" t="s">
        <v>102</v>
      </c>
      <c r="E34" s="17" t="s">
        <v>102</v>
      </c>
      <c r="F34" s="17" t="s">
        <v>102</v>
      </c>
      <c r="G34" s="17" t="s">
        <v>102</v>
      </c>
      <c r="H34" s="17" t="s">
        <v>102</v>
      </c>
      <c r="I34" s="17" t="s">
        <v>102</v>
      </c>
      <c r="J34" s="17" t="s">
        <v>102</v>
      </c>
      <c r="K34" s="17" t="s">
        <v>102</v>
      </c>
      <c r="L34" s="17" t="s">
        <v>102</v>
      </c>
      <c r="M34" s="19">
        <f>COUNTIF(D34:K34,"Completada")/8</f>
        <v>0</v>
      </c>
      <c r="N34" s="18">
        <v>46496.75</v>
      </c>
      <c r="O34" s="17" t="s">
        <v>37</v>
      </c>
      <c r="P34" s="17" t="s">
        <v>37</v>
      </c>
    </row>
    <row r="35" ht="46" customHeight="1" spans="1:16" x14ac:dyDescent="0.25">
      <c r="A35" s="20" t="s">
        <v>2124</v>
      </c>
      <c r="B35" s="20" t="s">
        <v>2125</v>
      </c>
      <c r="C35" s="20" t="s">
        <v>37</v>
      </c>
      <c r="D35" s="20" t="s">
        <v>102</v>
      </c>
      <c r="E35" s="20" t="s">
        <v>102</v>
      </c>
      <c r="F35" s="20" t="s">
        <v>102</v>
      </c>
      <c r="G35" s="20" t="s">
        <v>102</v>
      </c>
      <c r="H35" s="20" t="s">
        <v>102</v>
      </c>
      <c r="I35" s="20" t="s">
        <v>102</v>
      </c>
      <c r="J35" s="20" t="s">
        <v>102</v>
      </c>
      <c r="K35" s="20" t="s">
        <v>102</v>
      </c>
      <c r="L35" s="20" t="s">
        <v>102</v>
      </c>
      <c r="M35" s="22">
        <f>COUNTIF(D35:K35,"Completada")/8</f>
        <v>0</v>
      </c>
      <c r="N35" s="21">
        <v>46496.75</v>
      </c>
      <c r="O35" s="20" t="s">
        <v>37</v>
      </c>
      <c r="P35" s="20" t="s">
        <v>37</v>
      </c>
    </row>
    <row r="36" ht="46" customHeight="1" spans="1:16" x14ac:dyDescent="0.25">
      <c r="A36" s="17" t="s">
        <v>2126</v>
      </c>
      <c r="B36" s="17" t="s">
        <v>2127</v>
      </c>
      <c r="C36" s="17" t="s">
        <v>37</v>
      </c>
      <c r="D36" s="17" t="s">
        <v>102</v>
      </c>
      <c r="E36" s="17" t="s">
        <v>102</v>
      </c>
      <c r="F36" s="17" t="s">
        <v>102</v>
      </c>
      <c r="G36" s="17" t="s">
        <v>102</v>
      </c>
      <c r="H36" s="17" t="s">
        <v>102</v>
      </c>
      <c r="I36" s="17" t="s">
        <v>102</v>
      </c>
      <c r="J36" s="17" t="s">
        <v>102</v>
      </c>
      <c r="K36" s="17" t="s">
        <v>102</v>
      </c>
      <c r="L36" s="17" t="s">
        <v>102</v>
      </c>
      <c r="M36" s="19">
        <f>COUNTIF(D36:K36,"Completada")/8</f>
        <v>0</v>
      </c>
      <c r="N36" s="18">
        <v>46496.75</v>
      </c>
      <c r="O36" s="17" t="s">
        <v>37</v>
      </c>
      <c r="P36" s="17" t="s">
        <v>37</v>
      </c>
    </row>
    <row r="37" ht="46" customHeight="1" spans="1:16" x14ac:dyDescent="0.25">
      <c r="A37" s="20" t="s">
        <v>2128</v>
      </c>
      <c r="B37" s="20" t="s">
        <v>2129</v>
      </c>
      <c r="C37" s="20" t="s">
        <v>37</v>
      </c>
      <c r="D37" s="20" t="s">
        <v>102</v>
      </c>
      <c r="E37" s="20" t="s">
        <v>102</v>
      </c>
      <c r="F37" s="20" t="s">
        <v>102</v>
      </c>
      <c r="G37" s="20" t="s">
        <v>102</v>
      </c>
      <c r="H37" s="20" t="s">
        <v>102</v>
      </c>
      <c r="I37" s="20" t="s">
        <v>102</v>
      </c>
      <c r="J37" s="20" t="s">
        <v>102</v>
      </c>
      <c r="K37" s="20" t="s">
        <v>102</v>
      </c>
      <c r="L37" s="20" t="s">
        <v>102</v>
      </c>
      <c r="M37" s="22">
        <f>COUNTIF(D37:K37,"Completada")/8</f>
        <v>0</v>
      </c>
      <c r="N37" s="21">
        <v>46496.75</v>
      </c>
      <c r="O37" s="20" t="s">
        <v>37</v>
      </c>
      <c r="P37" s="20" t="s">
        <v>37</v>
      </c>
    </row>
    <row r="38" ht="46" customHeight="1" spans="1:16" x14ac:dyDescent="0.25">
      <c r="A38" s="17" t="s">
        <v>2130</v>
      </c>
      <c r="B38" s="17" t="s">
        <v>2131</v>
      </c>
      <c r="C38" s="17" t="s">
        <v>37</v>
      </c>
      <c r="D38" s="17" t="s">
        <v>102</v>
      </c>
      <c r="E38" s="17" t="s">
        <v>102</v>
      </c>
      <c r="F38" s="17" t="s">
        <v>102</v>
      </c>
      <c r="G38" s="17" t="s">
        <v>102</v>
      </c>
      <c r="H38" s="17" t="s">
        <v>102</v>
      </c>
      <c r="I38" s="17" t="s">
        <v>102</v>
      </c>
      <c r="J38" s="17" t="s">
        <v>102</v>
      </c>
      <c r="K38" s="17" t="s">
        <v>102</v>
      </c>
      <c r="L38" s="17" t="s">
        <v>102</v>
      </c>
      <c r="M38" s="19">
        <f>COUNTIF(D38:K38,"Completada")/8</f>
        <v>0</v>
      </c>
      <c r="N38" s="18">
        <v>46496.75</v>
      </c>
      <c r="O38" s="17" t="s">
        <v>37</v>
      </c>
      <c r="P38" s="17" t="s">
        <v>37</v>
      </c>
    </row>
    <row r="39" ht="46" customHeight="1" spans="1:16" x14ac:dyDescent="0.25">
      <c r="A39" s="20" t="s">
        <v>2132</v>
      </c>
      <c r="B39" s="20" t="s">
        <v>2133</v>
      </c>
      <c r="C39" s="20" t="s">
        <v>37</v>
      </c>
      <c r="D39" s="20" t="s">
        <v>102</v>
      </c>
      <c r="E39" s="20" t="s">
        <v>102</v>
      </c>
      <c r="F39" s="20" t="s">
        <v>102</v>
      </c>
      <c r="G39" s="20" t="s">
        <v>102</v>
      </c>
      <c r="H39" s="20" t="s">
        <v>102</v>
      </c>
      <c r="I39" s="20" t="s">
        <v>102</v>
      </c>
      <c r="J39" s="20" t="s">
        <v>102</v>
      </c>
      <c r="K39" s="20" t="s">
        <v>102</v>
      </c>
      <c r="L39" s="20" t="s">
        <v>102</v>
      </c>
      <c r="M39" s="22">
        <f>COUNTIF(D39:K39,"Completada")/8</f>
        <v>0</v>
      </c>
      <c r="N39" s="21">
        <v>46496.75</v>
      </c>
      <c r="O39" s="20" t="s">
        <v>37</v>
      </c>
      <c r="P39" s="20" t="s">
        <v>37</v>
      </c>
    </row>
    <row r="40" ht="46" customHeight="1" spans="1:16" x14ac:dyDescent="0.25">
      <c r="A40" s="17" t="s">
        <v>2134</v>
      </c>
      <c r="B40" s="17" t="s">
        <v>2135</v>
      </c>
      <c r="C40" s="17" t="s">
        <v>37</v>
      </c>
      <c r="D40" s="17" t="s">
        <v>102</v>
      </c>
      <c r="E40" s="17" t="s">
        <v>102</v>
      </c>
      <c r="F40" s="17" t="s">
        <v>102</v>
      </c>
      <c r="G40" s="17" t="s">
        <v>102</v>
      </c>
      <c r="H40" s="17" t="s">
        <v>102</v>
      </c>
      <c r="I40" s="17" t="s">
        <v>102</v>
      </c>
      <c r="J40" s="17" t="s">
        <v>102</v>
      </c>
      <c r="K40" s="17" t="s">
        <v>102</v>
      </c>
      <c r="L40" s="17" t="s">
        <v>102</v>
      </c>
      <c r="M40" s="19">
        <f>COUNTIF(D40:K40,"Completada")/8</f>
        <v>0</v>
      </c>
      <c r="N40" s="18">
        <v>46496.75</v>
      </c>
      <c r="O40" s="17" t="s">
        <v>37</v>
      </c>
      <c r="P40" s="17" t="s">
        <v>37</v>
      </c>
    </row>
  </sheetData>
  <autoFilter ref="A5:P40"/>
  <mergeCells count="2">
    <mergeCell ref="A1:P1"/>
    <mergeCell ref="A2:P2"/>
  </mergeCells>
  <conditionalFormatting sqref="M6:M40">
    <cfRule type="dataBar" priority="1">
      <dataBar>
        <cfvo type="num" val="0"/>
        <cfvo type="num" val="1"/>
        <color rgb="FF078464"/>
      </dataBar>
      <extLst>
        <ext xmlns:x14="http://schemas.microsoft.com/office/spreadsheetml/2009/9/main" uri="{B025F937-C7B1-47D3-B67F-A62EFF666E3E}">
          <x14:id>{CD5D43FE-7026-43A2-ABC8-D05155228B3C}</x14:id>
        </ext>
      </extLst>
    </cfRule>
  </conditionalFormatting>
  <dataValidations count="4">
    <dataValidation type="list" allowBlank="1" showErrorMessage="1" error="Seleccione un valor de la lista." sqref="D10:L40">
      <formula1>'99_Listas'!$I$2:$I$7</formula1>
    </dataValidation>
    <dataValidation type="list" allowBlank="1" showErrorMessage="1" error="Seleccione un valor de la lista." sqref="D6:L40">
      <formula1>'99_Listas'!$I$2:$I$7</formula1>
    </dataValidation>
    <dataValidation type="list" allowBlank="1" showErrorMessage="1" error="Seleccione un valor de la lista." sqref="O10:O40">
      <formula1>'99_Listas'!$F$2:$F$17</formula1>
    </dataValidation>
    <dataValidation type="list" allowBlank="1" showErrorMessage="1" error="Seleccione un valor de la lista." sqref="O6:O40">
      <formula1>'99_Listas'!$F$2:$F$17</formula1>
    </dataValidation>
  </dataValidations>
  <pageMargins left="0.25" right="0.25" top="0.55" bottom="0.55" header="0.2" footer="0.2"/>
  <pageSetup paperSize="9" orientation="landscape" fitToWidth="1" fitToHeight="0"/>
  <headerFooter>
    <oddHeader>&amp;LGENTIA ERP&amp;CPlan de implementación&amp;R&amp;D</oddHeader>
    <oddFooter>&amp;LDocumento de trabajo&amp;CConfidencial&amp;R Página &amp;P de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5D43FE-7026-43A2-ABC8-D05155228B3C}">
            <x14:dataBar minLength="0" maxLength="100">
              <x14:cfvo type="num">
                <xm:f>0</xm:f>
              </x14:cfvo>
              <x14:cfvo type="num">
                <xm:f>1</xm:f>
              </x14:cfvo>
            </x14:dataBar>
          </x14:cfRule>
          <xm:sqref>M6:M40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26" customWidth="1"/>
    <col min="4" max="4" width="22" customWidth="1"/>
    <col min="5" max="6" width="14" customWidth="1"/>
    <col min="7" max="7" width="16" customWidth="1"/>
    <col min="8" max="8" width="22" customWidth="1"/>
    <col min="9" max="9" width="30" customWidth="1"/>
    <col min="10" max="10" width="16" customWidth="1"/>
    <col min="11" max="11" width="40" customWidth="1"/>
    <col min="12" max="12" width="28" customWidth="1"/>
  </cols>
  <sheetData>
    <row r="1" ht="34" customHeight="1" spans="1:12" x14ac:dyDescent="0.25">
      <c r="A1" s="8" t="s">
        <v>2136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26" customHeight="1" spans="1:12" x14ac:dyDescent="0.25">
      <c r="A2" s="9" t="s">
        <v>2137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5" ht="32" customHeight="1" spans="1:12" x14ac:dyDescent="0.25">
      <c r="A5" s="14" t="s">
        <v>65</v>
      </c>
      <c r="B5" s="14" t="s">
        <v>2138</v>
      </c>
      <c r="C5" s="14" t="s">
        <v>35</v>
      </c>
      <c r="D5" s="14" t="s">
        <v>2065</v>
      </c>
      <c r="E5" s="14" t="s">
        <v>2139</v>
      </c>
      <c r="F5" s="14" t="s">
        <v>2140</v>
      </c>
      <c r="G5" s="14" t="s">
        <v>85</v>
      </c>
      <c r="H5" s="14" t="s">
        <v>2141</v>
      </c>
      <c r="I5" s="14" t="s">
        <v>2142</v>
      </c>
      <c r="J5" s="14" t="s">
        <v>77</v>
      </c>
      <c r="K5" s="14" t="s">
        <v>2143</v>
      </c>
      <c r="L5" s="14" t="s">
        <v>88</v>
      </c>
    </row>
    <row r="6" ht="46" customHeight="1" spans="1:12" x14ac:dyDescent="0.25">
      <c r="A6" s="17" t="s">
        <v>2144</v>
      </c>
      <c r="B6" s="17" t="s">
        <v>2145</v>
      </c>
      <c r="C6" s="17" t="s">
        <v>2146</v>
      </c>
      <c r="D6" s="17" t="s">
        <v>98</v>
      </c>
      <c r="E6" s="18">
        <v>46335.75</v>
      </c>
      <c r="F6" s="17" t="s">
        <v>37</v>
      </c>
      <c r="G6" s="17" t="s">
        <v>102</v>
      </c>
      <c r="H6" s="17" t="s">
        <v>37</v>
      </c>
      <c r="I6" s="17" t="s">
        <v>37</v>
      </c>
      <c r="J6" s="17" t="s">
        <v>2147</v>
      </c>
      <c r="K6" s="17" t="s">
        <v>2148</v>
      </c>
      <c r="L6" s="17" t="s">
        <v>37</v>
      </c>
    </row>
    <row r="7" ht="46" customHeight="1" spans="1:12" x14ac:dyDescent="0.25">
      <c r="A7" s="20" t="s">
        <v>2149</v>
      </c>
      <c r="B7" s="20" t="s">
        <v>2150</v>
      </c>
      <c r="C7" s="20" t="s">
        <v>2146</v>
      </c>
      <c r="D7" s="20" t="s">
        <v>98</v>
      </c>
      <c r="E7" s="21">
        <v>46351.75</v>
      </c>
      <c r="F7" s="20" t="s">
        <v>37</v>
      </c>
      <c r="G7" s="20" t="s">
        <v>102</v>
      </c>
      <c r="H7" s="20" t="s">
        <v>37</v>
      </c>
      <c r="I7" s="20" t="s">
        <v>37</v>
      </c>
      <c r="J7" s="20" t="s">
        <v>2144</v>
      </c>
      <c r="K7" s="20" t="s">
        <v>2151</v>
      </c>
      <c r="L7" s="20" t="s">
        <v>37</v>
      </c>
    </row>
    <row r="8" ht="46" customHeight="1" spans="1:12" x14ac:dyDescent="0.25">
      <c r="A8" s="17" t="s">
        <v>2152</v>
      </c>
      <c r="B8" s="17" t="s">
        <v>2153</v>
      </c>
      <c r="C8" s="17" t="s">
        <v>2146</v>
      </c>
      <c r="D8" s="17" t="s">
        <v>98</v>
      </c>
      <c r="E8" s="18">
        <v>46367.75</v>
      </c>
      <c r="F8" s="17" t="s">
        <v>37</v>
      </c>
      <c r="G8" s="17" t="s">
        <v>102</v>
      </c>
      <c r="H8" s="17" t="s">
        <v>37</v>
      </c>
      <c r="I8" s="17" t="s">
        <v>37</v>
      </c>
      <c r="J8" s="17" t="s">
        <v>2149</v>
      </c>
      <c r="K8" s="17" t="s">
        <v>2154</v>
      </c>
      <c r="L8" s="17" t="s">
        <v>37</v>
      </c>
    </row>
    <row r="9" ht="46" customHeight="1" spans="1:12" x14ac:dyDescent="0.25">
      <c r="A9" s="20" t="s">
        <v>2155</v>
      </c>
      <c r="B9" s="20" t="s">
        <v>2156</v>
      </c>
      <c r="C9" s="20" t="s">
        <v>2146</v>
      </c>
      <c r="D9" s="20" t="s">
        <v>98</v>
      </c>
      <c r="E9" s="21">
        <v>46385.75</v>
      </c>
      <c r="F9" s="20" t="s">
        <v>37</v>
      </c>
      <c r="G9" s="20" t="s">
        <v>102</v>
      </c>
      <c r="H9" s="20" t="s">
        <v>37</v>
      </c>
      <c r="I9" s="20" t="s">
        <v>37</v>
      </c>
      <c r="J9" s="20" t="s">
        <v>2152</v>
      </c>
      <c r="K9" s="20" t="s">
        <v>2157</v>
      </c>
      <c r="L9" s="20" t="s">
        <v>37</v>
      </c>
    </row>
    <row r="10" ht="46" customHeight="1" spans="1:12" x14ac:dyDescent="0.25">
      <c r="A10" s="17" t="s">
        <v>2158</v>
      </c>
      <c r="B10" s="17" t="s">
        <v>2159</v>
      </c>
      <c r="C10" s="17" t="s">
        <v>2146</v>
      </c>
      <c r="D10" s="17" t="s">
        <v>98</v>
      </c>
      <c r="E10" s="18">
        <v>46401.75</v>
      </c>
      <c r="F10" s="17" t="s">
        <v>37</v>
      </c>
      <c r="G10" s="17" t="s">
        <v>102</v>
      </c>
      <c r="H10" s="17" t="s">
        <v>37</v>
      </c>
      <c r="I10" s="17" t="s">
        <v>37</v>
      </c>
      <c r="J10" s="17" t="s">
        <v>2155</v>
      </c>
      <c r="K10" s="17" t="s">
        <v>2160</v>
      </c>
      <c r="L10" s="17" t="s">
        <v>37</v>
      </c>
    </row>
    <row r="11" ht="46" customHeight="1" spans="1:12" x14ac:dyDescent="0.25">
      <c r="A11" s="20" t="s">
        <v>2161</v>
      </c>
      <c r="B11" s="20" t="s">
        <v>2162</v>
      </c>
      <c r="C11" s="20" t="s">
        <v>2146</v>
      </c>
      <c r="D11" s="20" t="s">
        <v>98</v>
      </c>
      <c r="E11" s="21">
        <v>46419.75</v>
      </c>
      <c r="F11" s="20" t="s">
        <v>37</v>
      </c>
      <c r="G11" s="20" t="s">
        <v>102</v>
      </c>
      <c r="H11" s="20" t="s">
        <v>37</v>
      </c>
      <c r="I11" s="20" t="s">
        <v>37</v>
      </c>
      <c r="J11" s="20" t="s">
        <v>2158</v>
      </c>
      <c r="K11" s="20" t="s">
        <v>2163</v>
      </c>
      <c r="L11" s="20" t="s">
        <v>37</v>
      </c>
    </row>
    <row r="12" ht="46" customHeight="1" spans="1:12" x14ac:dyDescent="0.25">
      <c r="A12" s="17" t="s">
        <v>2164</v>
      </c>
      <c r="B12" s="17" t="s">
        <v>2165</v>
      </c>
      <c r="C12" s="17" t="s">
        <v>2146</v>
      </c>
      <c r="D12" s="17" t="s">
        <v>98</v>
      </c>
      <c r="E12" s="18">
        <v>46435.75</v>
      </c>
      <c r="F12" s="17" t="s">
        <v>37</v>
      </c>
      <c r="G12" s="17" t="s">
        <v>102</v>
      </c>
      <c r="H12" s="17" t="s">
        <v>37</v>
      </c>
      <c r="I12" s="17" t="s">
        <v>37</v>
      </c>
      <c r="J12" s="17" t="s">
        <v>2161</v>
      </c>
      <c r="K12" s="17" t="s">
        <v>2166</v>
      </c>
      <c r="L12" s="17" t="s">
        <v>37</v>
      </c>
    </row>
    <row r="13" ht="46" customHeight="1" spans="1:12" x14ac:dyDescent="0.25">
      <c r="A13" s="20" t="s">
        <v>2167</v>
      </c>
      <c r="B13" s="20" t="s">
        <v>2168</v>
      </c>
      <c r="C13" s="20" t="s">
        <v>2146</v>
      </c>
      <c r="D13" s="20" t="s">
        <v>98</v>
      </c>
      <c r="E13" s="21">
        <v>46451.75</v>
      </c>
      <c r="F13" s="20" t="s">
        <v>37</v>
      </c>
      <c r="G13" s="20" t="s">
        <v>102</v>
      </c>
      <c r="H13" s="20" t="s">
        <v>37</v>
      </c>
      <c r="I13" s="20" t="s">
        <v>37</v>
      </c>
      <c r="J13" s="20" t="s">
        <v>2164</v>
      </c>
      <c r="K13" s="20" t="s">
        <v>2169</v>
      </c>
      <c r="L13" s="20" t="s">
        <v>37</v>
      </c>
    </row>
    <row r="14" ht="46" customHeight="1" spans="1:12" x14ac:dyDescent="0.25">
      <c r="A14" s="17" t="s">
        <v>2170</v>
      </c>
      <c r="B14" s="17" t="s">
        <v>2171</v>
      </c>
      <c r="C14" s="17" t="s">
        <v>2146</v>
      </c>
      <c r="D14" s="17" t="s">
        <v>98</v>
      </c>
      <c r="E14" s="18">
        <v>46469.75</v>
      </c>
      <c r="F14" s="17" t="s">
        <v>37</v>
      </c>
      <c r="G14" s="17" t="s">
        <v>102</v>
      </c>
      <c r="H14" s="17" t="s">
        <v>37</v>
      </c>
      <c r="I14" s="17" t="s">
        <v>37</v>
      </c>
      <c r="J14" s="17" t="s">
        <v>2167</v>
      </c>
      <c r="K14" s="17" t="s">
        <v>2172</v>
      </c>
      <c r="L14" s="17" t="s">
        <v>37</v>
      </c>
    </row>
    <row r="15" ht="46" customHeight="1" spans="1:12" x14ac:dyDescent="0.25">
      <c r="A15" s="20" t="s">
        <v>2173</v>
      </c>
      <c r="B15" s="20" t="s">
        <v>2174</v>
      </c>
      <c r="C15" s="20" t="s">
        <v>2146</v>
      </c>
      <c r="D15" s="20" t="s">
        <v>98</v>
      </c>
      <c r="E15" s="21">
        <v>46485.75</v>
      </c>
      <c r="F15" s="20" t="s">
        <v>37</v>
      </c>
      <c r="G15" s="20" t="s">
        <v>102</v>
      </c>
      <c r="H15" s="20" t="s">
        <v>37</v>
      </c>
      <c r="I15" s="20" t="s">
        <v>37</v>
      </c>
      <c r="J15" s="20" t="s">
        <v>2170</v>
      </c>
      <c r="K15" s="20" t="s">
        <v>2175</v>
      </c>
      <c r="L15" s="20" t="s">
        <v>37</v>
      </c>
    </row>
    <row r="16" ht="46" customHeight="1" spans="1:12" x14ac:dyDescent="0.25">
      <c r="A16" s="17" t="s">
        <v>2176</v>
      </c>
      <c r="B16" s="17" t="s">
        <v>2177</v>
      </c>
      <c r="C16" s="17" t="s">
        <v>2146</v>
      </c>
      <c r="D16" s="17" t="s">
        <v>98</v>
      </c>
      <c r="E16" s="18">
        <v>46503.75</v>
      </c>
      <c r="F16" s="17" t="s">
        <v>37</v>
      </c>
      <c r="G16" s="17" t="s">
        <v>102</v>
      </c>
      <c r="H16" s="17" t="s">
        <v>37</v>
      </c>
      <c r="I16" s="17" t="s">
        <v>37</v>
      </c>
      <c r="J16" s="17" t="s">
        <v>2173</v>
      </c>
      <c r="K16" s="17" t="s">
        <v>2178</v>
      </c>
      <c r="L16" s="17" t="s">
        <v>37</v>
      </c>
    </row>
    <row r="17" ht="46" customHeight="1" spans="1:12" x14ac:dyDescent="0.25">
      <c r="A17" s="20" t="s">
        <v>2179</v>
      </c>
      <c r="B17" s="20" t="s">
        <v>2180</v>
      </c>
      <c r="C17" s="20" t="s">
        <v>2146</v>
      </c>
      <c r="D17" s="20" t="s">
        <v>98</v>
      </c>
      <c r="E17" s="21">
        <v>46519.75</v>
      </c>
      <c r="F17" s="20" t="s">
        <v>37</v>
      </c>
      <c r="G17" s="20" t="s">
        <v>102</v>
      </c>
      <c r="H17" s="20" t="s">
        <v>37</v>
      </c>
      <c r="I17" s="20" t="s">
        <v>37</v>
      </c>
      <c r="J17" s="20" t="s">
        <v>2176</v>
      </c>
      <c r="K17" s="20" t="s">
        <v>2181</v>
      </c>
      <c r="L17" s="20" t="s">
        <v>37</v>
      </c>
    </row>
    <row r="18" ht="46" customHeight="1" spans="1:12" x14ac:dyDescent="0.25">
      <c r="A18" s="17" t="s">
        <v>2182</v>
      </c>
      <c r="B18" s="17" t="s">
        <v>2183</v>
      </c>
      <c r="C18" s="17" t="s">
        <v>2146</v>
      </c>
      <c r="D18" s="17" t="s">
        <v>98</v>
      </c>
      <c r="E18" s="18">
        <v>46535.75</v>
      </c>
      <c r="F18" s="17" t="s">
        <v>37</v>
      </c>
      <c r="G18" s="17" t="s">
        <v>102</v>
      </c>
      <c r="H18" s="17" t="s">
        <v>37</v>
      </c>
      <c r="I18" s="17" t="s">
        <v>37</v>
      </c>
      <c r="J18" s="17" t="s">
        <v>2179</v>
      </c>
      <c r="K18" s="17" t="s">
        <v>2184</v>
      </c>
      <c r="L18" s="17" t="s">
        <v>37</v>
      </c>
    </row>
    <row r="19" ht="46" customHeight="1" spans="1:12" x14ac:dyDescent="0.25">
      <c r="A19" s="20" t="s">
        <v>2185</v>
      </c>
      <c r="B19" s="20" t="s">
        <v>2040</v>
      </c>
      <c r="C19" s="20" t="s">
        <v>2146</v>
      </c>
      <c r="D19" s="20" t="s">
        <v>98</v>
      </c>
      <c r="E19" s="21">
        <v>46553.75</v>
      </c>
      <c r="F19" s="20" t="s">
        <v>37</v>
      </c>
      <c r="G19" s="20" t="s">
        <v>102</v>
      </c>
      <c r="H19" s="20" t="s">
        <v>37</v>
      </c>
      <c r="I19" s="20" t="s">
        <v>37</v>
      </c>
      <c r="J19" s="20" t="s">
        <v>2182</v>
      </c>
      <c r="K19" s="20" t="s">
        <v>2186</v>
      </c>
      <c r="L19" s="20" t="s">
        <v>37</v>
      </c>
    </row>
    <row r="20" ht="46" customHeight="1" spans="1:12" x14ac:dyDescent="0.25">
      <c r="A20" s="17" t="s">
        <v>2187</v>
      </c>
      <c r="B20" s="17" t="s">
        <v>2188</v>
      </c>
      <c r="C20" s="17" t="s">
        <v>2146</v>
      </c>
      <c r="D20" s="17" t="s">
        <v>98</v>
      </c>
      <c r="E20" s="18">
        <v>46569.75</v>
      </c>
      <c r="F20" s="17" t="s">
        <v>37</v>
      </c>
      <c r="G20" s="17" t="s">
        <v>102</v>
      </c>
      <c r="H20" s="17" t="s">
        <v>37</v>
      </c>
      <c r="I20" s="17" t="s">
        <v>37</v>
      </c>
      <c r="J20" s="17" t="s">
        <v>2185</v>
      </c>
      <c r="K20" s="17" t="s">
        <v>2189</v>
      </c>
      <c r="L20" s="17" t="s">
        <v>37</v>
      </c>
    </row>
  </sheetData>
  <autoFilter ref="A5:L20"/>
  <mergeCells count="2">
    <mergeCell ref="A1:L1"/>
    <mergeCell ref="A2:L2"/>
  </mergeCells>
  <dataValidations count="4">
    <dataValidation type="list" allowBlank="1" showErrorMessage="1" error="Seleccione un valor de la lista." sqref="D10:D20">
      <formula1>'99_Listas'!$F$2:$F$17</formula1>
    </dataValidation>
    <dataValidation type="list" allowBlank="1" showErrorMessage="1" error="Seleccione un valor de la lista." sqref="D6:D20">
      <formula1>'99_Listas'!$F$2:$F$17</formula1>
    </dataValidation>
    <dataValidation type="list" allowBlank="1" showErrorMessage="1" error="Seleccione un valor de la lista." sqref="G10:G20">
      <formula1>'99_Listas'!$A$2:$A$7</formula1>
    </dataValidation>
    <dataValidation type="list" allowBlank="1" showErrorMessage="1" error="Seleccione un valor de la lista." sqref="G6:G20">
      <formula1>'99_Listas'!$A$2:$A$7</formula1>
    </dataValidation>
  </dataValidations>
  <pageMargins left="0.25" right="0.25" top="0.55" bottom="0.55" header="0.2" footer="0.2"/>
  <pageSetup paperSize="9" orientation="landscape" fitToWidth="1" fitToHeight="0"/>
  <headerFooter>
    <oddHeader>&amp;LGENTIA ERP&amp;CPlan de implementación&amp;R&amp;D</oddHeader>
    <oddFooter>&amp;LDocumento de trabajo&amp;CConfidencial&amp;R 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2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4" customWidth="1"/>
    <col min="3" max="3" width="22" customWidth="1"/>
    <col min="4" max="5" width="20" customWidth="1"/>
    <col min="6" max="6" width="25" customWidth="1"/>
    <col min="7" max="7" width="13" customWidth="1"/>
    <col min="8" max="8" width="14" customWidth="1"/>
    <col min="9" max="12" width="13" customWidth="1"/>
    <col min="13" max="15" width="14" customWidth="1"/>
    <col min="16" max="16" width="16" customWidth="1"/>
    <col min="17" max="17" width="22" customWidth="1"/>
    <col min="18" max="18" width="16" customWidth="1"/>
    <col min="19" max="19" width="28" customWidth="1"/>
    <col min="20" max="20" width="40" customWidth="1"/>
  </cols>
  <sheetData>
    <row r="1" ht="34" customHeight="1" spans="1:20" x14ac:dyDescent="0.25">
      <c r="A1" s="8" t="s">
        <v>2190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ht="26" customHeight="1" spans="1:20" x14ac:dyDescent="0.25">
      <c r="A2" s="9" t="s">
        <v>2191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5" ht="32" customHeight="1" spans="1:20" x14ac:dyDescent="0.25">
      <c r="A5" s="14" t="s">
        <v>65</v>
      </c>
      <c r="B5" s="14" t="s">
        <v>2192</v>
      </c>
      <c r="C5" s="14" t="s">
        <v>35</v>
      </c>
      <c r="D5" s="14" t="s">
        <v>2193</v>
      </c>
      <c r="E5" s="14" t="s">
        <v>2194</v>
      </c>
      <c r="F5" s="14" t="s">
        <v>2195</v>
      </c>
      <c r="G5" s="14" t="s">
        <v>2196</v>
      </c>
      <c r="H5" s="14" t="s">
        <v>2197</v>
      </c>
      <c r="I5" s="14" t="s">
        <v>2198</v>
      </c>
      <c r="J5" s="14" t="s">
        <v>2199</v>
      </c>
      <c r="K5" s="14" t="s">
        <v>2200</v>
      </c>
      <c r="L5" s="14" t="s">
        <v>2201</v>
      </c>
      <c r="M5" s="14" t="s">
        <v>1934</v>
      </c>
      <c r="N5" s="14" t="s">
        <v>1941</v>
      </c>
      <c r="O5" s="14" t="s">
        <v>1948</v>
      </c>
      <c r="P5" s="14" t="s">
        <v>2202</v>
      </c>
      <c r="Q5" s="14" t="s">
        <v>2065</v>
      </c>
      <c r="R5" s="14" t="s">
        <v>85</v>
      </c>
      <c r="S5" s="14" t="s">
        <v>2142</v>
      </c>
      <c r="T5" s="14" t="s">
        <v>2143</v>
      </c>
    </row>
    <row r="6" ht="46" customHeight="1" spans="1:20" x14ac:dyDescent="0.25">
      <c r="A6" s="17" t="s">
        <v>2203</v>
      </c>
      <c r="B6" s="17" t="s">
        <v>2204</v>
      </c>
      <c r="C6" s="17" t="s">
        <v>40</v>
      </c>
      <c r="D6" s="17" t="s">
        <v>2205</v>
      </c>
      <c r="E6" s="17" t="s">
        <v>233</v>
      </c>
      <c r="F6" s="17" t="s">
        <v>2206</v>
      </c>
      <c r="G6" s="17" t="s">
        <v>37</v>
      </c>
      <c r="H6" s="17" t="s">
        <v>37</v>
      </c>
      <c r="I6" s="17" t="s">
        <v>37</v>
      </c>
      <c r="J6" s="17" t="s">
        <v>37</v>
      </c>
      <c r="K6" s="17" t="s">
        <v>37</v>
      </c>
      <c r="L6" s="17" t="str">
        <f>IF(OR(I6="",J6=""),"",I6-J6-K6)</f>
        <v/>
      </c>
      <c r="M6" s="17" t="s">
        <v>102</v>
      </c>
      <c r="N6" s="17" t="s">
        <v>102</v>
      </c>
      <c r="O6" s="17" t="s">
        <v>102</v>
      </c>
      <c r="P6" s="17" t="s">
        <v>2207</v>
      </c>
      <c r="Q6" s="17" t="s">
        <v>714</v>
      </c>
      <c r="R6" s="17" t="s">
        <v>102</v>
      </c>
      <c r="S6" s="17" t="s">
        <v>37</v>
      </c>
      <c r="T6" s="17" t="s">
        <v>2208</v>
      </c>
    </row>
    <row r="7" ht="46" customHeight="1" spans="1:20" x14ac:dyDescent="0.25">
      <c r="A7" s="20" t="s">
        <v>2209</v>
      </c>
      <c r="B7" s="20" t="s">
        <v>2210</v>
      </c>
      <c r="C7" s="20" t="s">
        <v>41</v>
      </c>
      <c r="D7" s="20" t="s">
        <v>2205</v>
      </c>
      <c r="E7" s="20" t="s">
        <v>233</v>
      </c>
      <c r="F7" s="20" t="s">
        <v>2211</v>
      </c>
      <c r="G7" s="20" t="s">
        <v>37</v>
      </c>
      <c r="H7" s="20" t="s">
        <v>37</v>
      </c>
      <c r="I7" s="20" t="s">
        <v>37</v>
      </c>
      <c r="J7" s="20" t="s">
        <v>37</v>
      </c>
      <c r="K7" s="20" t="s">
        <v>37</v>
      </c>
      <c r="L7" s="20" t="str">
        <f>IF(OR(I7="",J7=""),"",I7-J7-K7)</f>
        <v/>
      </c>
      <c r="M7" s="20" t="s">
        <v>102</v>
      </c>
      <c r="N7" s="20" t="s">
        <v>102</v>
      </c>
      <c r="O7" s="20" t="s">
        <v>102</v>
      </c>
      <c r="P7" s="20" t="s">
        <v>2207</v>
      </c>
      <c r="Q7" s="20" t="s">
        <v>714</v>
      </c>
      <c r="R7" s="20" t="s">
        <v>102</v>
      </c>
      <c r="S7" s="20" t="s">
        <v>37</v>
      </c>
      <c r="T7" s="20" t="s">
        <v>2208</v>
      </c>
    </row>
    <row r="8" ht="46" customHeight="1" spans="1:20" x14ac:dyDescent="0.25">
      <c r="A8" s="17" t="s">
        <v>2212</v>
      </c>
      <c r="B8" s="17" t="s">
        <v>2213</v>
      </c>
      <c r="C8" s="17" t="s">
        <v>41</v>
      </c>
      <c r="D8" s="17" t="s">
        <v>2205</v>
      </c>
      <c r="E8" s="17" t="s">
        <v>233</v>
      </c>
      <c r="F8" s="17" t="s">
        <v>2214</v>
      </c>
      <c r="G8" s="17" t="s">
        <v>37</v>
      </c>
      <c r="H8" s="17" t="s">
        <v>37</v>
      </c>
      <c r="I8" s="17" t="s">
        <v>37</v>
      </c>
      <c r="J8" s="17" t="s">
        <v>37</v>
      </c>
      <c r="K8" s="17" t="s">
        <v>37</v>
      </c>
      <c r="L8" s="17" t="str">
        <f>IF(OR(I8="",J8=""),"",I8-J8-K8)</f>
        <v/>
      </c>
      <c r="M8" s="17" t="s">
        <v>102</v>
      </c>
      <c r="N8" s="17" t="s">
        <v>102</v>
      </c>
      <c r="O8" s="17" t="s">
        <v>102</v>
      </c>
      <c r="P8" s="17" t="s">
        <v>2207</v>
      </c>
      <c r="Q8" s="17" t="s">
        <v>714</v>
      </c>
      <c r="R8" s="17" t="s">
        <v>102</v>
      </c>
      <c r="S8" s="17" t="s">
        <v>37</v>
      </c>
      <c r="T8" s="17" t="s">
        <v>2208</v>
      </c>
    </row>
    <row r="9" ht="46" customHeight="1" spans="1:20" x14ac:dyDescent="0.25">
      <c r="A9" s="20" t="s">
        <v>2215</v>
      </c>
      <c r="B9" s="20" t="s">
        <v>348</v>
      </c>
      <c r="C9" s="20" t="s">
        <v>41</v>
      </c>
      <c r="D9" s="20" t="s">
        <v>2205</v>
      </c>
      <c r="E9" s="20" t="s">
        <v>233</v>
      </c>
      <c r="F9" s="20" t="s">
        <v>2216</v>
      </c>
      <c r="G9" s="20" t="s">
        <v>37</v>
      </c>
      <c r="H9" s="20" t="s">
        <v>37</v>
      </c>
      <c r="I9" s="20" t="s">
        <v>37</v>
      </c>
      <c r="J9" s="20" t="s">
        <v>37</v>
      </c>
      <c r="K9" s="20" t="s">
        <v>37</v>
      </c>
      <c r="L9" s="20" t="str">
        <f>IF(OR(I9="",J9=""),"",I9-J9-K9)</f>
        <v/>
      </c>
      <c r="M9" s="20" t="s">
        <v>102</v>
      </c>
      <c r="N9" s="20" t="s">
        <v>102</v>
      </c>
      <c r="O9" s="20" t="s">
        <v>102</v>
      </c>
      <c r="P9" s="20" t="s">
        <v>2207</v>
      </c>
      <c r="Q9" s="20" t="s">
        <v>714</v>
      </c>
      <c r="R9" s="20" t="s">
        <v>102</v>
      </c>
      <c r="S9" s="20" t="s">
        <v>37</v>
      </c>
      <c r="T9" s="20" t="s">
        <v>2208</v>
      </c>
    </row>
    <row r="10" ht="46" customHeight="1" spans="1:20" x14ac:dyDescent="0.25">
      <c r="A10" s="17" t="s">
        <v>2217</v>
      </c>
      <c r="B10" s="17" t="s">
        <v>2218</v>
      </c>
      <c r="C10" s="17" t="s">
        <v>42</v>
      </c>
      <c r="D10" s="17" t="s">
        <v>2205</v>
      </c>
      <c r="E10" s="17" t="s">
        <v>233</v>
      </c>
      <c r="F10" s="17" t="s">
        <v>2219</v>
      </c>
      <c r="G10" s="17" t="s">
        <v>37</v>
      </c>
      <c r="H10" s="17" t="s">
        <v>37</v>
      </c>
      <c r="I10" s="17" t="s">
        <v>37</v>
      </c>
      <c r="J10" s="17" t="s">
        <v>37</v>
      </c>
      <c r="K10" s="17" t="s">
        <v>37</v>
      </c>
      <c r="L10" s="17" t="str">
        <f>IF(OR(I10="",J10=""),"",I10-J10-K10)</f>
        <v/>
      </c>
      <c r="M10" s="17" t="s">
        <v>102</v>
      </c>
      <c r="N10" s="17" t="s">
        <v>102</v>
      </c>
      <c r="O10" s="17" t="s">
        <v>102</v>
      </c>
      <c r="P10" s="17" t="s">
        <v>2207</v>
      </c>
      <c r="Q10" s="17" t="s">
        <v>714</v>
      </c>
      <c r="R10" s="17" t="s">
        <v>102</v>
      </c>
      <c r="S10" s="17" t="s">
        <v>37</v>
      </c>
      <c r="T10" s="17" t="s">
        <v>2208</v>
      </c>
    </row>
    <row r="11" ht="46" customHeight="1" spans="1:20" x14ac:dyDescent="0.25">
      <c r="A11" s="20" t="s">
        <v>2220</v>
      </c>
      <c r="B11" s="20" t="s">
        <v>2221</v>
      </c>
      <c r="C11" s="20" t="s">
        <v>44</v>
      </c>
      <c r="D11" s="20" t="s">
        <v>2205</v>
      </c>
      <c r="E11" s="20" t="s">
        <v>233</v>
      </c>
      <c r="F11" s="20" t="s">
        <v>2222</v>
      </c>
      <c r="G11" s="20" t="s">
        <v>37</v>
      </c>
      <c r="H11" s="20" t="s">
        <v>37</v>
      </c>
      <c r="I11" s="20" t="s">
        <v>37</v>
      </c>
      <c r="J11" s="20" t="s">
        <v>37</v>
      </c>
      <c r="K11" s="20" t="s">
        <v>37</v>
      </c>
      <c r="L11" s="20" t="str">
        <f>IF(OR(I11="",J11=""),"",I11-J11-K11)</f>
        <v/>
      </c>
      <c r="M11" s="20" t="s">
        <v>102</v>
      </c>
      <c r="N11" s="20" t="s">
        <v>102</v>
      </c>
      <c r="O11" s="20" t="s">
        <v>102</v>
      </c>
      <c r="P11" s="20" t="s">
        <v>2207</v>
      </c>
      <c r="Q11" s="20" t="s">
        <v>714</v>
      </c>
      <c r="R11" s="20" t="s">
        <v>102</v>
      </c>
      <c r="S11" s="20" t="s">
        <v>37</v>
      </c>
      <c r="T11" s="20" t="s">
        <v>2208</v>
      </c>
    </row>
    <row r="12" ht="46" customHeight="1" spans="1:20" x14ac:dyDescent="0.25">
      <c r="A12" s="17" t="s">
        <v>2223</v>
      </c>
      <c r="B12" s="17" t="s">
        <v>2224</v>
      </c>
      <c r="C12" s="17" t="s">
        <v>44</v>
      </c>
      <c r="D12" s="17" t="s">
        <v>2205</v>
      </c>
      <c r="E12" s="17" t="s">
        <v>233</v>
      </c>
      <c r="F12" s="17" t="s">
        <v>2225</v>
      </c>
      <c r="G12" s="17" t="s">
        <v>37</v>
      </c>
      <c r="H12" s="17" t="s">
        <v>37</v>
      </c>
      <c r="I12" s="17" t="s">
        <v>37</v>
      </c>
      <c r="J12" s="17" t="s">
        <v>37</v>
      </c>
      <c r="K12" s="17" t="s">
        <v>37</v>
      </c>
      <c r="L12" s="17" t="str">
        <f>IF(OR(I12="",J12=""),"",I12-J12-K12)</f>
        <v/>
      </c>
      <c r="M12" s="17" t="s">
        <v>102</v>
      </c>
      <c r="N12" s="17" t="s">
        <v>102</v>
      </c>
      <c r="O12" s="17" t="s">
        <v>102</v>
      </c>
      <c r="P12" s="17" t="s">
        <v>2207</v>
      </c>
      <c r="Q12" s="17" t="s">
        <v>714</v>
      </c>
      <c r="R12" s="17" t="s">
        <v>102</v>
      </c>
      <c r="S12" s="17" t="s">
        <v>37</v>
      </c>
      <c r="T12" s="17" t="s">
        <v>2208</v>
      </c>
    </row>
    <row r="13" ht="46" customHeight="1" spans="1:20" x14ac:dyDescent="0.25">
      <c r="A13" s="20" t="s">
        <v>2226</v>
      </c>
      <c r="B13" s="20" t="s">
        <v>2227</v>
      </c>
      <c r="C13" s="20" t="s">
        <v>2059</v>
      </c>
      <c r="D13" s="20" t="s">
        <v>2205</v>
      </c>
      <c r="E13" s="20" t="s">
        <v>233</v>
      </c>
      <c r="F13" s="20" t="s">
        <v>2228</v>
      </c>
      <c r="G13" s="20" t="s">
        <v>37</v>
      </c>
      <c r="H13" s="20" t="s">
        <v>37</v>
      </c>
      <c r="I13" s="20" t="s">
        <v>37</v>
      </c>
      <c r="J13" s="20" t="s">
        <v>37</v>
      </c>
      <c r="K13" s="20" t="s">
        <v>37</v>
      </c>
      <c r="L13" s="20" t="str">
        <f>IF(OR(I13="",J13=""),"",I13-J13-K13)</f>
        <v/>
      </c>
      <c r="M13" s="20" t="s">
        <v>102</v>
      </c>
      <c r="N13" s="20" t="s">
        <v>102</v>
      </c>
      <c r="O13" s="20" t="s">
        <v>102</v>
      </c>
      <c r="P13" s="20" t="s">
        <v>2207</v>
      </c>
      <c r="Q13" s="20" t="s">
        <v>714</v>
      </c>
      <c r="R13" s="20" t="s">
        <v>102</v>
      </c>
      <c r="S13" s="20" t="s">
        <v>37</v>
      </c>
      <c r="T13" s="20" t="s">
        <v>2208</v>
      </c>
    </row>
    <row r="14" ht="46" customHeight="1" spans="1:20" x14ac:dyDescent="0.25">
      <c r="A14" s="17" t="s">
        <v>2229</v>
      </c>
      <c r="B14" s="17" t="s">
        <v>2230</v>
      </c>
      <c r="C14" s="17" t="s">
        <v>2059</v>
      </c>
      <c r="D14" s="17" t="s">
        <v>2205</v>
      </c>
      <c r="E14" s="17" t="s">
        <v>233</v>
      </c>
      <c r="F14" s="17" t="s">
        <v>2231</v>
      </c>
      <c r="G14" s="17" t="s">
        <v>37</v>
      </c>
      <c r="H14" s="17" t="s">
        <v>37</v>
      </c>
      <c r="I14" s="17" t="s">
        <v>37</v>
      </c>
      <c r="J14" s="17" t="s">
        <v>37</v>
      </c>
      <c r="K14" s="17" t="s">
        <v>37</v>
      </c>
      <c r="L14" s="17" t="str">
        <f>IF(OR(I14="",J14=""),"",I14-J14-K14)</f>
        <v/>
      </c>
      <c r="M14" s="17" t="s">
        <v>102</v>
      </c>
      <c r="N14" s="17" t="s">
        <v>102</v>
      </c>
      <c r="O14" s="17" t="s">
        <v>102</v>
      </c>
      <c r="P14" s="17" t="s">
        <v>2207</v>
      </c>
      <c r="Q14" s="17" t="s">
        <v>714</v>
      </c>
      <c r="R14" s="17" t="s">
        <v>102</v>
      </c>
      <c r="S14" s="17" t="s">
        <v>37</v>
      </c>
      <c r="T14" s="17" t="s">
        <v>2208</v>
      </c>
    </row>
    <row r="15" ht="46" customHeight="1" spans="1:20" x14ac:dyDescent="0.25">
      <c r="A15" s="20" t="s">
        <v>2232</v>
      </c>
      <c r="B15" s="20" t="s">
        <v>2233</v>
      </c>
      <c r="C15" s="20" t="s">
        <v>46</v>
      </c>
      <c r="D15" s="20" t="s">
        <v>2205</v>
      </c>
      <c r="E15" s="20" t="s">
        <v>233</v>
      </c>
      <c r="F15" s="20" t="s">
        <v>2234</v>
      </c>
      <c r="G15" s="20" t="s">
        <v>37</v>
      </c>
      <c r="H15" s="20" t="s">
        <v>37</v>
      </c>
      <c r="I15" s="20" t="s">
        <v>37</v>
      </c>
      <c r="J15" s="20" t="s">
        <v>37</v>
      </c>
      <c r="K15" s="20" t="s">
        <v>37</v>
      </c>
      <c r="L15" s="20" t="str">
        <f>IF(OR(I15="",J15=""),"",I15-J15-K15)</f>
        <v/>
      </c>
      <c r="M15" s="20" t="s">
        <v>102</v>
      </c>
      <c r="N15" s="20" t="s">
        <v>102</v>
      </c>
      <c r="O15" s="20" t="s">
        <v>102</v>
      </c>
      <c r="P15" s="20" t="s">
        <v>2207</v>
      </c>
      <c r="Q15" s="20" t="s">
        <v>714</v>
      </c>
      <c r="R15" s="20" t="s">
        <v>102</v>
      </c>
      <c r="S15" s="20" t="s">
        <v>37</v>
      </c>
      <c r="T15" s="20" t="s">
        <v>2208</v>
      </c>
    </row>
    <row r="16" ht="46" customHeight="1" spans="1:20" x14ac:dyDescent="0.25">
      <c r="A16" s="17" t="s">
        <v>2235</v>
      </c>
      <c r="B16" s="17" t="s">
        <v>2236</v>
      </c>
      <c r="C16" s="17" t="s">
        <v>46</v>
      </c>
      <c r="D16" s="17" t="s">
        <v>2205</v>
      </c>
      <c r="E16" s="17" t="s">
        <v>233</v>
      </c>
      <c r="F16" s="17" t="s">
        <v>2237</v>
      </c>
      <c r="G16" s="17" t="s">
        <v>37</v>
      </c>
      <c r="H16" s="17" t="s">
        <v>37</v>
      </c>
      <c r="I16" s="17" t="s">
        <v>37</v>
      </c>
      <c r="J16" s="17" t="s">
        <v>37</v>
      </c>
      <c r="K16" s="17" t="s">
        <v>37</v>
      </c>
      <c r="L16" s="17" t="str">
        <f>IF(OR(I16="",J16=""),"",I16-J16-K16)</f>
        <v/>
      </c>
      <c r="M16" s="17" t="s">
        <v>102</v>
      </c>
      <c r="N16" s="17" t="s">
        <v>102</v>
      </c>
      <c r="O16" s="17" t="s">
        <v>102</v>
      </c>
      <c r="P16" s="17" t="s">
        <v>2207</v>
      </c>
      <c r="Q16" s="17" t="s">
        <v>714</v>
      </c>
      <c r="R16" s="17" t="s">
        <v>102</v>
      </c>
      <c r="S16" s="17" t="s">
        <v>37</v>
      </c>
      <c r="T16" s="17" t="s">
        <v>2208</v>
      </c>
    </row>
    <row r="17" ht="46" customHeight="1" spans="1:20" x14ac:dyDescent="0.25">
      <c r="A17" s="20" t="s">
        <v>2238</v>
      </c>
      <c r="B17" s="20" t="s">
        <v>723</v>
      </c>
      <c r="C17" s="20" t="s">
        <v>46</v>
      </c>
      <c r="D17" s="20" t="s">
        <v>2205</v>
      </c>
      <c r="E17" s="20" t="s">
        <v>233</v>
      </c>
      <c r="F17" s="20" t="s">
        <v>2239</v>
      </c>
      <c r="G17" s="20" t="s">
        <v>37</v>
      </c>
      <c r="H17" s="20" t="s">
        <v>37</v>
      </c>
      <c r="I17" s="20" t="s">
        <v>37</v>
      </c>
      <c r="J17" s="20" t="s">
        <v>37</v>
      </c>
      <c r="K17" s="20" t="s">
        <v>37</v>
      </c>
      <c r="L17" s="20" t="str">
        <f>IF(OR(I17="",J17=""),"",I17-J17-K17)</f>
        <v/>
      </c>
      <c r="M17" s="20" t="s">
        <v>102</v>
      </c>
      <c r="N17" s="20" t="s">
        <v>102</v>
      </c>
      <c r="O17" s="20" t="s">
        <v>102</v>
      </c>
      <c r="P17" s="20" t="s">
        <v>2207</v>
      </c>
      <c r="Q17" s="20" t="s">
        <v>714</v>
      </c>
      <c r="R17" s="20" t="s">
        <v>102</v>
      </c>
      <c r="S17" s="20" t="s">
        <v>37</v>
      </c>
      <c r="T17" s="20" t="s">
        <v>2208</v>
      </c>
    </row>
    <row r="18" ht="46" customHeight="1" spans="1:20" x14ac:dyDescent="0.25">
      <c r="A18" s="17" t="s">
        <v>2240</v>
      </c>
      <c r="B18" s="17" t="s">
        <v>362</v>
      </c>
      <c r="C18" s="17" t="s">
        <v>41</v>
      </c>
      <c r="D18" s="17" t="s">
        <v>2205</v>
      </c>
      <c r="E18" s="17" t="s">
        <v>233</v>
      </c>
      <c r="F18" s="17" t="s">
        <v>2241</v>
      </c>
      <c r="G18" s="17" t="s">
        <v>37</v>
      </c>
      <c r="H18" s="17" t="s">
        <v>37</v>
      </c>
      <c r="I18" s="17" t="s">
        <v>37</v>
      </c>
      <c r="J18" s="17" t="s">
        <v>37</v>
      </c>
      <c r="K18" s="17" t="s">
        <v>37</v>
      </c>
      <c r="L18" s="17" t="str">
        <f>IF(OR(I18="",J18=""),"",I18-J18-K18)</f>
        <v/>
      </c>
      <c r="M18" s="17" t="s">
        <v>102</v>
      </c>
      <c r="N18" s="17" t="s">
        <v>102</v>
      </c>
      <c r="O18" s="17" t="s">
        <v>102</v>
      </c>
      <c r="P18" s="17" t="s">
        <v>2207</v>
      </c>
      <c r="Q18" s="17" t="s">
        <v>714</v>
      </c>
      <c r="R18" s="17" t="s">
        <v>102</v>
      </c>
      <c r="S18" s="17" t="s">
        <v>37</v>
      </c>
      <c r="T18" s="17" t="s">
        <v>2208</v>
      </c>
    </row>
    <row r="19" ht="46" customHeight="1" spans="1:20" x14ac:dyDescent="0.25">
      <c r="A19" s="20" t="s">
        <v>2242</v>
      </c>
      <c r="B19" s="20" t="s">
        <v>1346</v>
      </c>
      <c r="C19" s="20" t="s">
        <v>54</v>
      </c>
      <c r="D19" s="20" t="s">
        <v>2205</v>
      </c>
      <c r="E19" s="20" t="s">
        <v>233</v>
      </c>
      <c r="F19" s="20" t="s">
        <v>2243</v>
      </c>
      <c r="G19" s="20" t="s">
        <v>37</v>
      </c>
      <c r="H19" s="20" t="s">
        <v>37</v>
      </c>
      <c r="I19" s="20" t="s">
        <v>37</v>
      </c>
      <c r="J19" s="20" t="s">
        <v>37</v>
      </c>
      <c r="K19" s="20" t="s">
        <v>37</v>
      </c>
      <c r="L19" s="20" t="str">
        <f>IF(OR(I19="",J19=""),"",I19-J19-K19)</f>
        <v/>
      </c>
      <c r="M19" s="20" t="s">
        <v>102</v>
      </c>
      <c r="N19" s="20" t="s">
        <v>102</v>
      </c>
      <c r="O19" s="20" t="s">
        <v>102</v>
      </c>
      <c r="P19" s="20" t="s">
        <v>2207</v>
      </c>
      <c r="Q19" s="20" t="s">
        <v>714</v>
      </c>
      <c r="R19" s="20" t="s">
        <v>102</v>
      </c>
      <c r="S19" s="20" t="s">
        <v>37</v>
      </c>
      <c r="T19" s="20" t="s">
        <v>2208</v>
      </c>
    </row>
    <row r="20" ht="46" customHeight="1" spans="1:20" x14ac:dyDescent="0.25">
      <c r="A20" s="17" t="s">
        <v>2244</v>
      </c>
      <c r="B20" s="17" t="s">
        <v>2245</v>
      </c>
      <c r="C20" s="17" t="s">
        <v>54</v>
      </c>
      <c r="D20" s="17" t="s">
        <v>2205</v>
      </c>
      <c r="E20" s="17" t="s">
        <v>233</v>
      </c>
      <c r="F20" s="17" t="s">
        <v>2246</v>
      </c>
      <c r="G20" s="17" t="s">
        <v>37</v>
      </c>
      <c r="H20" s="17" t="s">
        <v>37</v>
      </c>
      <c r="I20" s="17" t="s">
        <v>37</v>
      </c>
      <c r="J20" s="17" t="s">
        <v>37</v>
      </c>
      <c r="K20" s="17" t="s">
        <v>37</v>
      </c>
      <c r="L20" s="17" t="str">
        <f>IF(OR(I20="",J20=""),"",I20-J20-K20)</f>
        <v/>
      </c>
      <c r="M20" s="17" t="s">
        <v>102</v>
      </c>
      <c r="N20" s="17" t="s">
        <v>102</v>
      </c>
      <c r="O20" s="17" t="s">
        <v>102</v>
      </c>
      <c r="P20" s="17" t="s">
        <v>2207</v>
      </c>
      <c r="Q20" s="17" t="s">
        <v>714</v>
      </c>
      <c r="R20" s="17" t="s">
        <v>102</v>
      </c>
      <c r="S20" s="17" t="s">
        <v>37</v>
      </c>
      <c r="T20" s="17" t="s">
        <v>2208</v>
      </c>
    </row>
    <row r="21" ht="46" customHeight="1" spans="1:20" x14ac:dyDescent="0.25">
      <c r="A21" s="20" t="s">
        <v>2247</v>
      </c>
      <c r="B21" s="20" t="s">
        <v>2248</v>
      </c>
      <c r="C21" s="20" t="s">
        <v>44</v>
      </c>
      <c r="D21" s="20" t="s">
        <v>2205</v>
      </c>
      <c r="E21" s="20" t="s">
        <v>233</v>
      </c>
      <c r="F21" s="20" t="s">
        <v>2249</v>
      </c>
      <c r="G21" s="20" t="s">
        <v>37</v>
      </c>
      <c r="H21" s="20" t="s">
        <v>37</v>
      </c>
      <c r="I21" s="20" t="s">
        <v>37</v>
      </c>
      <c r="J21" s="20" t="s">
        <v>37</v>
      </c>
      <c r="K21" s="20" t="s">
        <v>37</v>
      </c>
      <c r="L21" s="20" t="str">
        <f>IF(OR(I21="",J21=""),"",I21-J21-K21)</f>
        <v/>
      </c>
      <c r="M21" s="20" t="s">
        <v>102</v>
      </c>
      <c r="N21" s="20" t="s">
        <v>102</v>
      </c>
      <c r="O21" s="20" t="s">
        <v>102</v>
      </c>
      <c r="P21" s="20" t="s">
        <v>2207</v>
      </c>
      <c r="Q21" s="20" t="s">
        <v>714</v>
      </c>
      <c r="R21" s="20" t="s">
        <v>102</v>
      </c>
      <c r="S21" s="20" t="s">
        <v>37</v>
      </c>
      <c r="T21" s="20" t="s">
        <v>2250</v>
      </c>
    </row>
    <row r="22" ht="46" customHeight="1" spans="1:20" x14ac:dyDescent="0.25">
      <c r="A22" s="17" t="s">
        <v>2251</v>
      </c>
      <c r="B22" s="17" t="s">
        <v>2252</v>
      </c>
      <c r="C22" s="17" t="s">
        <v>785</v>
      </c>
      <c r="D22" s="17" t="s">
        <v>2205</v>
      </c>
      <c r="E22" s="17" t="s">
        <v>233</v>
      </c>
      <c r="F22" s="17" t="s">
        <v>2253</v>
      </c>
      <c r="G22" s="17" t="s">
        <v>37</v>
      </c>
      <c r="H22" s="17" t="s">
        <v>37</v>
      </c>
      <c r="I22" s="17" t="s">
        <v>37</v>
      </c>
      <c r="J22" s="17" t="s">
        <v>37</v>
      </c>
      <c r="K22" s="17" t="s">
        <v>37</v>
      </c>
      <c r="L22" s="17" t="str">
        <f>IF(OR(I22="",J22=""),"",I22-J22-K22)</f>
        <v/>
      </c>
      <c r="M22" s="17" t="s">
        <v>102</v>
      </c>
      <c r="N22" s="17" t="s">
        <v>102</v>
      </c>
      <c r="O22" s="17" t="s">
        <v>102</v>
      </c>
      <c r="P22" s="17" t="s">
        <v>2207</v>
      </c>
      <c r="Q22" s="17" t="s">
        <v>714</v>
      </c>
      <c r="R22" s="17" t="s">
        <v>102</v>
      </c>
      <c r="S22" s="17" t="s">
        <v>37</v>
      </c>
      <c r="T22" s="17" t="s">
        <v>2250</v>
      </c>
    </row>
    <row r="23" ht="46" customHeight="1" spans="1:20" x14ac:dyDescent="0.25">
      <c r="A23" s="20" t="s">
        <v>2254</v>
      </c>
      <c r="B23" s="20" t="s">
        <v>2255</v>
      </c>
      <c r="C23" s="20" t="s">
        <v>785</v>
      </c>
      <c r="D23" s="20" t="s">
        <v>2205</v>
      </c>
      <c r="E23" s="20" t="s">
        <v>233</v>
      </c>
      <c r="F23" s="20" t="s">
        <v>2256</v>
      </c>
      <c r="G23" s="20" t="s">
        <v>37</v>
      </c>
      <c r="H23" s="20" t="s">
        <v>37</v>
      </c>
      <c r="I23" s="20" t="s">
        <v>37</v>
      </c>
      <c r="J23" s="20" t="s">
        <v>37</v>
      </c>
      <c r="K23" s="20" t="s">
        <v>37</v>
      </c>
      <c r="L23" s="20" t="str">
        <f>IF(OR(I23="",J23=""),"",I23-J23-K23)</f>
        <v/>
      </c>
      <c r="M23" s="20" t="s">
        <v>102</v>
      </c>
      <c r="N23" s="20" t="s">
        <v>102</v>
      </c>
      <c r="O23" s="20" t="s">
        <v>102</v>
      </c>
      <c r="P23" s="20" t="s">
        <v>2207</v>
      </c>
      <c r="Q23" s="20" t="s">
        <v>714</v>
      </c>
      <c r="R23" s="20" t="s">
        <v>102</v>
      </c>
      <c r="S23" s="20" t="s">
        <v>37</v>
      </c>
      <c r="T23" s="20" t="s">
        <v>2208</v>
      </c>
    </row>
    <row r="24" ht="46" customHeight="1" spans="1:20" x14ac:dyDescent="0.25">
      <c r="A24" s="17" t="s">
        <v>2257</v>
      </c>
      <c r="B24" s="17" t="s">
        <v>2258</v>
      </c>
      <c r="C24" s="17" t="s">
        <v>883</v>
      </c>
      <c r="D24" s="17" t="s">
        <v>2205</v>
      </c>
      <c r="E24" s="17" t="s">
        <v>233</v>
      </c>
      <c r="F24" s="17" t="s">
        <v>2259</v>
      </c>
      <c r="G24" s="17" t="s">
        <v>37</v>
      </c>
      <c r="H24" s="17" t="s">
        <v>37</v>
      </c>
      <c r="I24" s="17" t="s">
        <v>37</v>
      </c>
      <c r="J24" s="17" t="s">
        <v>37</v>
      </c>
      <c r="K24" s="17" t="s">
        <v>37</v>
      </c>
      <c r="L24" s="17" t="str">
        <f>IF(OR(I24="",J24=""),"",I24-J24-K24)</f>
        <v/>
      </c>
      <c r="M24" s="17" t="s">
        <v>102</v>
      </c>
      <c r="N24" s="17" t="s">
        <v>102</v>
      </c>
      <c r="O24" s="17" t="s">
        <v>102</v>
      </c>
      <c r="P24" s="17" t="s">
        <v>2207</v>
      </c>
      <c r="Q24" s="17" t="s">
        <v>714</v>
      </c>
      <c r="R24" s="17" t="s">
        <v>102</v>
      </c>
      <c r="S24" s="17" t="s">
        <v>37</v>
      </c>
      <c r="T24" s="17" t="s">
        <v>2250</v>
      </c>
    </row>
    <row r="25" ht="46" customHeight="1" spans="1:20" x14ac:dyDescent="0.25">
      <c r="A25" s="20" t="s">
        <v>2260</v>
      </c>
      <c r="B25" s="20" t="s">
        <v>2261</v>
      </c>
      <c r="C25" s="20" t="s">
        <v>883</v>
      </c>
      <c r="D25" s="20" t="s">
        <v>2205</v>
      </c>
      <c r="E25" s="20" t="s">
        <v>233</v>
      </c>
      <c r="F25" s="20" t="s">
        <v>2262</v>
      </c>
      <c r="G25" s="20" t="s">
        <v>37</v>
      </c>
      <c r="H25" s="20" t="s">
        <v>37</v>
      </c>
      <c r="I25" s="20" t="s">
        <v>37</v>
      </c>
      <c r="J25" s="20" t="s">
        <v>37</v>
      </c>
      <c r="K25" s="20" t="s">
        <v>37</v>
      </c>
      <c r="L25" s="20" t="str">
        <f>IF(OR(I25="",J25=""),"",I25-J25-K25)</f>
        <v/>
      </c>
      <c r="M25" s="20" t="s">
        <v>102</v>
      </c>
      <c r="N25" s="20" t="s">
        <v>102</v>
      </c>
      <c r="O25" s="20" t="s">
        <v>102</v>
      </c>
      <c r="P25" s="20" t="s">
        <v>2207</v>
      </c>
      <c r="Q25" s="20" t="s">
        <v>714</v>
      </c>
      <c r="R25" s="20" t="s">
        <v>102</v>
      </c>
      <c r="S25" s="20" t="s">
        <v>37</v>
      </c>
      <c r="T25" s="20" t="s">
        <v>2208</v>
      </c>
    </row>
    <row r="26" ht="46" customHeight="1" spans="1:20" x14ac:dyDescent="0.25">
      <c r="A26" s="17" t="s">
        <v>2263</v>
      </c>
      <c r="B26" s="17" t="s">
        <v>1913</v>
      </c>
      <c r="C26" s="17" t="s">
        <v>53</v>
      </c>
      <c r="D26" s="17" t="s">
        <v>2205</v>
      </c>
      <c r="E26" s="17" t="s">
        <v>233</v>
      </c>
      <c r="F26" s="17" t="s">
        <v>2264</v>
      </c>
      <c r="G26" s="17" t="s">
        <v>37</v>
      </c>
      <c r="H26" s="17" t="s">
        <v>37</v>
      </c>
      <c r="I26" s="17" t="s">
        <v>37</v>
      </c>
      <c r="J26" s="17" t="s">
        <v>37</v>
      </c>
      <c r="K26" s="17" t="s">
        <v>37</v>
      </c>
      <c r="L26" s="17" t="str">
        <f>IF(OR(I26="",J26=""),"",I26-J26-K26)</f>
        <v/>
      </c>
      <c r="M26" s="17" t="s">
        <v>102</v>
      </c>
      <c r="N26" s="17" t="s">
        <v>102</v>
      </c>
      <c r="O26" s="17" t="s">
        <v>102</v>
      </c>
      <c r="P26" s="17" t="s">
        <v>2207</v>
      </c>
      <c r="Q26" s="17" t="s">
        <v>714</v>
      </c>
      <c r="R26" s="17" t="s">
        <v>102</v>
      </c>
      <c r="S26" s="17" t="s">
        <v>37</v>
      </c>
      <c r="T26" s="17" t="s">
        <v>2250</v>
      </c>
    </row>
    <row r="27" ht="46" customHeight="1" spans="1:20" x14ac:dyDescent="0.25">
      <c r="A27" s="20" t="s">
        <v>2265</v>
      </c>
      <c r="B27" s="20" t="s">
        <v>2266</v>
      </c>
      <c r="C27" s="20" t="s">
        <v>44</v>
      </c>
      <c r="D27" s="20" t="s">
        <v>2205</v>
      </c>
      <c r="E27" s="20" t="s">
        <v>233</v>
      </c>
      <c r="F27" s="20" t="s">
        <v>2267</v>
      </c>
      <c r="G27" s="20" t="s">
        <v>37</v>
      </c>
      <c r="H27" s="20" t="s">
        <v>37</v>
      </c>
      <c r="I27" s="20" t="s">
        <v>37</v>
      </c>
      <c r="J27" s="20" t="s">
        <v>37</v>
      </c>
      <c r="K27" s="20" t="s">
        <v>37</v>
      </c>
      <c r="L27" s="20" t="str">
        <f>IF(OR(I27="",J27=""),"",I27-J27-K27)</f>
        <v/>
      </c>
      <c r="M27" s="20" t="s">
        <v>102</v>
      </c>
      <c r="N27" s="20" t="s">
        <v>102</v>
      </c>
      <c r="O27" s="20" t="s">
        <v>102</v>
      </c>
      <c r="P27" s="20" t="s">
        <v>2207</v>
      </c>
      <c r="Q27" s="20" t="s">
        <v>714</v>
      </c>
      <c r="R27" s="20" t="s">
        <v>102</v>
      </c>
      <c r="S27" s="20" t="s">
        <v>37</v>
      </c>
      <c r="T27" s="20" t="s">
        <v>2250</v>
      </c>
    </row>
    <row r="28" ht="46" customHeight="1" spans="1:20" x14ac:dyDescent="0.25">
      <c r="A28" s="17" t="s">
        <v>2268</v>
      </c>
      <c r="B28" s="17" t="s">
        <v>2269</v>
      </c>
      <c r="C28" s="17" t="s">
        <v>44</v>
      </c>
      <c r="D28" s="17" t="s">
        <v>2205</v>
      </c>
      <c r="E28" s="17" t="s">
        <v>233</v>
      </c>
      <c r="F28" s="17" t="s">
        <v>2270</v>
      </c>
      <c r="G28" s="17" t="s">
        <v>37</v>
      </c>
      <c r="H28" s="17" t="s">
        <v>37</v>
      </c>
      <c r="I28" s="17" t="s">
        <v>37</v>
      </c>
      <c r="J28" s="17" t="s">
        <v>37</v>
      </c>
      <c r="K28" s="17" t="s">
        <v>37</v>
      </c>
      <c r="L28" s="17" t="str">
        <f>IF(OR(I28="",J28=""),"",I28-J28-K28)</f>
        <v/>
      </c>
      <c r="M28" s="17" t="s">
        <v>102</v>
      </c>
      <c r="N28" s="17" t="s">
        <v>102</v>
      </c>
      <c r="O28" s="17" t="s">
        <v>102</v>
      </c>
      <c r="P28" s="17" t="s">
        <v>2207</v>
      </c>
      <c r="Q28" s="17" t="s">
        <v>714</v>
      </c>
      <c r="R28" s="17" t="s">
        <v>102</v>
      </c>
      <c r="S28" s="17" t="s">
        <v>37</v>
      </c>
      <c r="T28" s="17" t="s">
        <v>2250</v>
      </c>
    </row>
    <row r="29" ht="46" customHeight="1" spans="1:20" x14ac:dyDescent="0.25">
      <c r="A29" s="20" t="s">
        <v>2271</v>
      </c>
      <c r="B29" s="20" t="s">
        <v>2272</v>
      </c>
      <c r="C29" s="20" t="s">
        <v>51</v>
      </c>
      <c r="D29" s="20" t="s">
        <v>2205</v>
      </c>
      <c r="E29" s="20" t="s">
        <v>233</v>
      </c>
      <c r="F29" s="20" t="s">
        <v>2273</v>
      </c>
      <c r="G29" s="20" t="s">
        <v>37</v>
      </c>
      <c r="H29" s="20" t="s">
        <v>37</v>
      </c>
      <c r="I29" s="20" t="s">
        <v>37</v>
      </c>
      <c r="J29" s="20" t="s">
        <v>37</v>
      </c>
      <c r="K29" s="20" t="s">
        <v>37</v>
      </c>
      <c r="L29" s="20" t="str">
        <f>IF(OR(I29="",J29=""),"",I29-J29-K29)</f>
        <v/>
      </c>
      <c r="M29" s="20" t="s">
        <v>102</v>
      </c>
      <c r="N29" s="20" t="s">
        <v>102</v>
      </c>
      <c r="O29" s="20" t="s">
        <v>102</v>
      </c>
      <c r="P29" s="20" t="s">
        <v>2207</v>
      </c>
      <c r="Q29" s="20" t="s">
        <v>714</v>
      </c>
      <c r="R29" s="20" t="s">
        <v>102</v>
      </c>
      <c r="S29" s="20" t="s">
        <v>37</v>
      </c>
      <c r="T29" s="20" t="s">
        <v>2250</v>
      </c>
    </row>
    <row r="30" ht="46" customHeight="1" spans="1:20" x14ac:dyDescent="0.25">
      <c r="A30" s="17" t="s">
        <v>2274</v>
      </c>
      <c r="B30" s="17" t="s">
        <v>2275</v>
      </c>
      <c r="C30" s="17" t="s">
        <v>51</v>
      </c>
      <c r="D30" s="17" t="s">
        <v>2205</v>
      </c>
      <c r="E30" s="17" t="s">
        <v>233</v>
      </c>
      <c r="F30" s="17" t="s">
        <v>2276</v>
      </c>
      <c r="G30" s="17" t="s">
        <v>37</v>
      </c>
      <c r="H30" s="17" t="s">
        <v>37</v>
      </c>
      <c r="I30" s="17" t="s">
        <v>37</v>
      </c>
      <c r="J30" s="17" t="s">
        <v>37</v>
      </c>
      <c r="K30" s="17" t="s">
        <v>37</v>
      </c>
      <c r="L30" s="17" t="str">
        <f>IF(OR(I30="",J30=""),"",I30-J30-K30)</f>
        <v/>
      </c>
      <c r="M30" s="17" t="s">
        <v>102</v>
      </c>
      <c r="N30" s="17" t="s">
        <v>102</v>
      </c>
      <c r="O30" s="17" t="s">
        <v>102</v>
      </c>
      <c r="P30" s="17" t="s">
        <v>2207</v>
      </c>
      <c r="Q30" s="17" t="s">
        <v>714</v>
      </c>
      <c r="R30" s="17" t="s">
        <v>102</v>
      </c>
      <c r="S30" s="17" t="s">
        <v>37</v>
      </c>
      <c r="T30" s="17" t="s">
        <v>2208</v>
      </c>
    </row>
    <row r="31" ht="46" customHeight="1" spans="1:20" x14ac:dyDescent="0.25">
      <c r="A31" s="20" t="s">
        <v>2277</v>
      </c>
      <c r="B31" s="20" t="s">
        <v>2278</v>
      </c>
      <c r="C31" s="20" t="s">
        <v>51</v>
      </c>
      <c r="D31" s="20" t="s">
        <v>2205</v>
      </c>
      <c r="E31" s="20" t="s">
        <v>233</v>
      </c>
      <c r="F31" s="20" t="s">
        <v>2279</v>
      </c>
      <c r="G31" s="20" t="s">
        <v>37</v>
      </c>
      <c r="H31" s="20" t="s">
        <v>37</v>
      </c>
      <c r="I31" s="20" t="s">
        <v>37</v>
      </c>
      <c r="J31" s="20" t="s">
        <v>37</v>
      </c>
      <c r="K31" s="20" t="s">
        <v>37</v>
      </c>
      <c r="L31" s="20" t="str">
        <f>IF(OR(I31="",J31=""),"",I31-J31-K31)</f>
        <v/>
      </c>
      <c r="M31" s="20" t="s">
        <v>102</v>
      </c>
      <c r="N31" s="20" t="s">
        <v>102</v>
      </c>
      <c r="O31" s="20" t="s">
        <v>102</v>
      </c>
      <c r="P31" s="20" t="s">
        <v>2207</v>
      </c>
      <c r="Q31" s="20" t="s">
        <v>714</v>
      </c>
      <c r="R31" s="20" t="s">
        <v>102</v>
      </c>
      <c r="S31" s="20" t="s">
        <v>37</v>
      </c>
      <c r="T31" s="20" t="s">
        <v>2208</v>
      </c>
    </row>
    <row r="32" ht="46" customHeight="1" spans="1:20" x14ac:dyDescent="0.25">
      <c r="A32" s="17" t="s">
        <v>2280</v>
      </c>
      <c r="B32" s="17" t="s">
        <v>2281</v>
      </c>
      <c r="C32" s="17" t="s">
        <v>2282</v>
      </c>
      <c r="D32" s="17" t="s">
        <v>2205</v>
      </c>
      <c r="E32" s="17" t="s">
        <v>233</v>
      </c>
      <c r="F32" s="17" t="s">
        <v>2283</v>
      </c>
      <c r="G32" s="17" t="s">
        <v>37</v>
      </c>
      <c r="H32" s="17" t="s">
        <v>37</v>
      </c>
      <c r="I32" s="17" t="s">
        <v>37</v>
      </c>
      <c r="J32" s="17" t="s">
        <v>37</v>
      </c>
      <c r="K32" s="17" t="s">
        <v>37</v>
      </c>
      <c r="L32" s="17" t="str">
        <f>IF(OR(I32="",J32=""),"",I32-J32-K32)</f>
        <v/>
      </c>
      <c r="M32" s="17" t="s">
        <v>102</v>
      </c>
      <c r="N32" s="17" t="s">
        <v>102</v>
      </c>
      <c r="O32" s="17" t="s">
        <v>102</v>
      </c>
      <c r="P32" s="17" t="s">
        <v>2207</v>
      </c>
      <c r="Q32" s="17" t="s">
        <v>714</v>
      </c>
      <c r="R32" s="17" t="s">
        <v>102</v>
      </c>
      <c r="S32" s="17" t="s">
        <v>37</v>
      </c>
      <c r="T32" s="17" t="s">
        <v>2208</v>
      </c>
    </row>
  </sheetData>
  <autoFilter ref="A5:T32"/>
  <mergeCells count="2">
    <mergeCell ref="A1:T1"/>
    <mergeCell ref="A2:T2"/>
  </mergeCells>
  <dataValidations count="6">
    <dataValidation type="list" allowBlank="1" showErrorMessage="1" error="Seleccione un valor de la lista." sqref="M10:O32">
      <formula1>'99_Listas'!$A$2:$A$7</formula1>
    </dataValidation>
    <dataValidation type="list" allowBlank="1" showErrorMessage="1" error="Seleccione un valor de la lista." sqref="M6:O32">
      <formula1>'99_Listas'!$A$2:$A$7</formula1>
    </dataValidation>
    <dataValidation type="list" allowBlank="1" showErrorMessage="1" error="Seleccione un valor de la lista." sqref="Q10:Q32">
      <formula1>'99_Listas'!$F$2:$F$17</formula1>
    </dataValidation>
    <dataValidation type="list" allowBlank="1" showErrorMessage="1" error="Seleccione un valor de la lista." sqref="Q6:Q32">
      <formula1>'99_Listas'!$F$2:$F$17</formula1>
    </dataValidation>
    <dataValidation type="list" allowBlank="1" showErrorMessage="1" error="Seleccione un valor de la lista." sqref="R10:R32">
      <formula1>'99_Listas'!$A$2:$A$7</formula1>
    </dataValidation>
    <dataValidation type="list" allowBlank="1" showErrorMessage="1" error="Seleccione un valor de la lista." sqref="R6:R32">
      <formula1>'99_Listas'!$A$2:$A$7</formula1>
    </dataValidation>
  </dataValidations>
  <pageMargins left="0.25" right="0.25" top="0.55" bottom="0.55" header="0.2" footer="0.2"/>
  <pageSetup paperSize="9" orientation="landscape" fitToWidth="1" fitToHeight="0"/>
  <headerFooter>
    <oddHeader>&amp;LGENTIA ERP&amp;CPlan de implementación&amp;R&amp;D</oddHeader>
    <oddFooter>&amp;LDocumento de trabajo&amp;CConfidencial&amp;R 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41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32" customWidth="1"/>
    <col min="4" max="4" width="38" customWidth="1"/>
    <col min="5" max="5" width="28" customWidth="1"/>
    <col min="6" max="6" width="52" customWidth="1"/>
    <col min="7" max="7" width="45" customWidth="1"/>
    <col min="8" max="8" width="22" customWidth="1"/>
    <col min="9" max="9" width="24" customWidth="1"/>
    <col min="10" max="10" width="13" customWidth="1"/>
    <col min="11" max="12" width="16" customWidth="1"/>
    <col min="13" max="13" width="15" customWidth="1"/>
    <col min="14" max="14" width="14" customWidth="1"/>
    <col min="15" max="15" width="28" customWidth="1"/>
    <col min="16" max="16" width="22" customWidth="1"/>
  </cols>
  <sheetData>
    <row r="1" ht="34" customHeight="1" spans="1:16" x14ac:dyDescent="0.25">
      <c r="A1" s="8" t="s">
        <v>2284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ht="26" customHeight="1" spans="1:16" x14ac:dyDescent="0.25">
      <c r="A2" s="9" t="s">
        <v>2285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5" ht="32" customHeight="1" spans="1:16" x14ac:dyDescent="0.25">
      <c r="A5" s="14" t="s">
        <v>65</v>
      </c>
      <c r="B5" s="14" t="s">
        <v>35</v>
      </c>
      <c r="C5" s="14" t="s">
        <v>2286</v>
      </c>
      <c r="D5" s="14" t="s">
        <v>2287</v>
      </c>
      <c r="E5" s="14" t="s">
        <v>2288</v>
      </c>
      <c r="F5" s="14" t="s">
        <v>2289</v>
      </c>
      <c r="G5" s="14" t="s">
        <v>2290</v>
      </c>
      <c r="H5" s="14" t="s">
        <v>2291</v>
      </c>
      <c r="I5" s="14" t="s">
        <v>2055</v>
      </c>
      <c r="J5" s="14" t="s">
        <v>2292</v>
      </c>
      <c r="K5" s="14" t="s">
        <v>2293</v>
      </c>
      <c r="L5" s="14" t="s">
        <v>2294</v>
      </c>
      <c r="M5" s="14" t="s">
        <v>2295</v>
      </c>
      <c r="N5" s="14" t="s">
        <v>2296</v>
      </c>
      <c r="O5" s="14" t="s">
        <v>2142</v>
      </c>
      <c r="P5" s="14" t="s">
        <v>2141</v>
      </c>
    </row>
    <row r="6" ht="46" customHeight="1" spans="1:16" x14ac:dyDescent="0.25">
      <c r="A6" s="17" t="s">
        <v>2297</v>
      </c>
      <c r="B6" s="17" t="s">
        <v>40</v>
      </c>
      <c r="C6" s="17" t="s">
        <v>227</v>
      </c>
      <c r="D6" s="17" t="s">
        <v>2298</v>
      </c>
      <c r="E6" s="17" t="s">
        <v>2299</v>
      </c>
      <c r="F6" s="17" t="s">
        <v>229</v>
      </c>
      <c r="G6" s="17" t="s">
        <v>231</v>
      </c>
      <c r="H6" s="17" t="s">
        <v>233</v>
      </c>
      <c r="I6" s="17" t="s">
        <v>2300</v>
      </c>
      <c r="J6" s="17" t="s">
        <v>37</v>
      </c>
      <c r="K6" s="17" t="s">
        <v>2301</v>
      </c>
      <c r="L6" s="17" t="s">
        <v>2302</v>
      </c>
      <c r="M6" s="17" t="s">
        <v>37</v>
      </c>
      <c r="N6" s="17" t="s">
        <v>2207</v>
      </c>
      <c r="O6" s="17" t="s">
        <v>37</v>
      </c>
      <c r="P6" s="17" t="s">
        <v>233</v>
      </c>
    </row>
    <row r="7" ht="46" customHeight="1" spans="1:16" x14ac:dyDescent="0.25">
      <c r="A7" s="20" t="s">
        <v>2303</v>
      </c>
      <c r="B7" s="20" t="s">
        <v>40</v>
      </c>
      <c r="C7" s="20" t="s">
        <v>235</v>
      </c>
      <c r="D7" s="20" t="s">
        <v>2304</v>
      </c>
      <c r="E7" s="20" t="s">
        <v>2299</v>
      </c>
      <c r="F7" s="20" t="s">
        <v>237</v>
      </c>
      <c r="G7" s="20" t="s">
        <v>239</v>
      </c>
      <c r="H7" s="20" t="s">
        <v>233</v>
      </c>
      <c r="I7" s="20" t="s">
        <v>2300</v>
      </c>
      <c r="J7" s="20" t="s">
        <v>37</v>
      </c>
      <c r="K7" s="20" t="s">
        <v>2301</v>
      </c>
      <c r="L7" s="20" t="s">
        <v>2302</v>
      </c>
      <c r="M7" s="20" t="s">
        <v>37</v>
      </c>
      <c r="N7" s="20" t="s">
        <v>2207</v>
      </c>
      <c r="O7" s="20" t="s">
        <v>37</v>
      </c>
      <c r="P7" s="20" t="s">
        <v>233</v>
      </c>
    </row>
    <row r="8" ht="46" customHeight="1" spans="1:16" x14ac:dyDescent="0.25">
      <c r="A8" s="17" t="s">
        <v>2305</v>
      </c>
      <c r="B8" s="17" t="s">
        <v>40</v>
      </c>
      <c r="C8" s="17" t="s">
        <v>242</v>
      </c>
      <c r="D8" s="17" t="s">
        <v>2306</v>
      </c>
      <c r="E8" s="17" t="s">
        <v>2299</v>
      </c>
      <c r="F8" s="17" t="s">
        <v>244</v>
      </c>
      <c r="G8" s="17" t="s">
        <v>246</v>
      </c>
      <c r="H8" s="17" t="s">
        <v>233</v>
      </c>
      <c r="I8" s="17" t="s">
        <v>2300</v>
      </c>
      <c r="J8" s="17" t="s">
        <v>37</v>
      </c>
      <c r="K8" s="17" t="s">
        <v>2301</v>
      </c>
      <c r="L8" s="17" t="s">
        <v>2302</v>
      </c>
      <c r="M8" s="17" t="s">
        <v>37</v>
      </c>
      <c r="N8" s="17" t="s">
        <v>2207</v>
      </c>
      <c r="O8" s="17" t="s">
        <v>37</v>
      </c>
      <c r="P8" s="17" t="s">
        <v>233</v>
      </c>
    </row>
    <row r="9" ht="46" customHeight="1" spans="1:16" x14ac:dyDescent="0.25">
      <c r="A9" s="20" t="s">
        <v>2307</v>
      </c>
      <c r="B9" s="20" t="s">
        <v>40</v>
      </c>
      <c r="C9" s="20" t="s">
        <v>249</v>
      </c>
      <c r="D9" s="20" t="s">
        <v>2308</v>
      </c>
      <c r="E9" s="20" t="s">
        <v>2299</v>
      </c>
      <c r="F9" s="20" t="s">
        <v>251</v>
      </c>
      <c r="G9" s="20" t="s">
        <v>253</v>
      </c>
      <c r="H9" s="20" t="s">
        <v>233</v>
      </c>
      <c r="I9" s="20" t="s">
        <v>2300</v>
      </c>
      <c r="J9" s="20" t="s">
        <v>37</v>
      </c>
      <c r="K9" s="20" t="s">
        <v>2301</v>
      </c>
      <c r="L9" s="20" t="s">
        <v>2302</v>
      </c>
      <c r="M9" s="20" t="s">
        <v>37</v>
      </c>
      <c r="N9" s="20" t="s">
        <v>2207</v>
      </c>
      <c r="O9" s="20" t="s">
        <v>37</v>
      </c>
      <c r="P9" s="20" t="s">
        <v>233</v>
      </c>
    </row>
    <row r="10" ht="46" customHeight="1" spans="1:16" x14ac:dyDescent="0.25">
      <c r="A10" s="17" t="s">
        <v>2309</v>
      </c>
      <c r="B10" s="17" t="s">
        <v>40</v>
      </c>
      <c r="C10" s="17" t="s">
        <v>256</v>
      </c>
      <c r="D10" s="17" t="s">
        <v>2310</v>
      </c>
      <c r="E10" s="17" t="s">
        <v>2299</v>
      </c>
      <c r="F10" s="17" t="s">
        <v>258</v>
      </c>
      <c r="G10" s="17" t="s">
        <v>260</v>
      </c>
      <c r="H10" s="17" t="s">
        <v>233</v>
      </c>
      <c r="I10" s="17" t="s">
        <v>2300</v>
      </c>
      <c r="J10" s="17" t="s">
        <v>37</v>
      </c>
      <c r="K10" s="17" t="s">
        <v>2301</v>
      </c>
      <c r="L10" s="17" t="s">
        <v>2302</v>
      </c>
      <c r="M10" s="17" t="s">
        <v>37</v>
      </c>
      <c r="N10" s="17" t="s">
        <v>2207</v>
      </c>
      <c r="O10" s="17" t="s">
        <v>37</v>
      </c>
      <c r="P10" s="17" t="s">
        <v>233</v>
      </c>
    </row>
    <row r="11" ht="46" customHeight="1" spans="1:16" x14ac:dyDescent="0.25">
      <c r="A11" s="20" t="s">
        <v>2311</v>
      </c>
      <c r="B11" s="20" t="s">
        <v>40</v>
      </c>
      <c r="C11" s="20" t="s">
        <v>263</v>
      </c>
      <c r="D11" s="20" t="s">
        <v>2312</v>
      </c>
      <c r="E11" s="20" t="s">
        <v>2299</v>
      </c>
      <c r="F11" s="20" t="s">
        <v>265</v>
      </c>
      <c r="G11" s="20" t="s">
        <v>267</v>
      </c>
      <c r="H11" s="20" t="s">
        <v>233</v>
      </c>
      <c r="I11" s="20" t="s">
        <v>2300</v>
      </c>
      <c r="J11" s="20" t="s">
        <v>37</v>
      </c>
      <c r="K11" s="20" t="s">
        <v>2301</v>
      </c>
      <c r="L11" s="20" t="s">
        <v>2302</v>
      </c>
      <c r="M11" s="20" t="s">
        <v>37</v>
      </c>
      <c r="N11" s="20" t="s">
        <v>2207</v>
      </c>
      <c r="O11" s="20" t="s">
        <v>37</v>
      </c>
      <c r="P11" s="20" t="s">
        <v>233</v>
      </c>
    </row>
    <row r="12" ht="46" customHeight="1" spans="1:16" x14ac:dyDescent="0.25">
      <c r="A12" s="17" t="s">
        <v>2313</v>
      </c>
      <c r="B12" s="17" t="s">
        <v>40</v>
      </c>
      <c r="C12" s="17" t="s">
        <v>270</v>
      </c>
      <c r="D12" s="17" t="s">
        <v>2314</v>
      </c>
      <c r="E12" s="17" t="s">
        <v>2299</v>
      </c>
      <c r="F12" s="17" t="s">
        <v>272</v>
      </c>
      <c r="G12" s="17" t="s">
        <v>274</v>
      </c>
      <c r="H12" s="17" t="s">
        <v>233</v>
      </c>
      <c r="I12" s="17" t="s">
        <v>2300</v>
      </c>
      <c r="J12" s="17" t="s">
        <v>37</v>
      </c>
      <c r="K12" s="17" t="s">
        <v>2301</v>
      </c>
      <c r="L12" s="17" t="s">
        <v>2302</v>
      </c>
      <c r="M12" s="17" t="s">
        <v>37</v>
      </c>
      <c r="N12" s="17" t="s">
        <v>2207</v>
      </c>
      <c r="O12" s="17" t="s">
        <v>37</v>
      </c>
      <c r="P12" s="17" t="s">
        <v>233</v>
      </c>
    </row>
    <row r="13" ht="46" customHeight="1" spans="1:16" x14ac:dyDescent="0.25">
      <c r="A13" s="20" t="s">
        <v>2315</v>
      </c>
      <c r="B13" s="20" t="s">
        <v>40</v>
      </c>
      <c r="C13" s="20" t="s">
        <v>277</v>
      </c>
      <c r="D13" s="20" t="s">
        <v>2316</v>
      </c>
      <c r="E13" s="20" t="s">
        <v>2299</v>
      </c>
      <c r="F13" s="20" t="s">
        <v>279</v>
      </c>
      <c r="G13" s="20" t="s">
        <v>281</v>
      </c>
      <c r="H13" s="20" t="s">
        <v>233</v>
      </c>
      <c r="I13" s="20" t="s">
        <v>2300</v>
      </c>
      <c r="J13" s="20" t="s">
        <v>37</v>
      </c>
      <c r="K13" s="20" t="s">
        <v>2301</v>
      </c>
      <c r="L13" s="20" t="s">
        <v>2302</v>
      </c>
      <c r="M13" s="20" t="s">
        <v>37</v>
      </c>
      <c r="N13" s="20" t="s">
        <v>2207</v>
      </c>
      <c r="O13" s="20" t="s">
        <v>37</v>
      </c>
      <c r="P13" s="20" t="s">
        <v>233</v>
      </c>
    </row>
    <row r="14" ht="46" customHeight="1" spans="1:16" x14ac:dyDescent="0.25">
      <c r="A14" s="17" t="s">
        <v>2317</v>
      </c>
      <c r="B14" s="17" t="s">
        <v>40</v>
      </c>
      <c r="C14" s="17" t="s">
        <v>284</v>
      </c>
      <c r="D14" s="17" t="s">
        <v>2318</v>
      </c>
      <c r="E14" s="17" t="s">
        <v>2299</v>
      </c>
      <c r="F14" s="17" t="s">
        <v>286</v>
      </c>
      <c r="G14" s="17" t="s">
        <v>288</v>
      </c>
      <c r="H14" s="17" t="s">
        <v>233</v>
      </c>
      <c r="I14" s="17" t="s">
        <v>2300</v>
      </c>
      <c r="J14" s="17" t="s">
        <v>37</v>
      </c>
      <c r="K14" s="17" t="s">
        <v>2301</v>
      </c>
      <c r="L14" s="17" t="s">
        <v>2302</v>
      </c>
      <c r="M14" s="17" t="s">
        <v>37</v>
      </c>
      <c r="N14" s="17" t="s">
        <v>2207</v>
      </c>
      <c r="O14" s="17" t="s">
        <v>37</v>
      </c>
      <c r="P14" s="17" t="s">
        <v>233</v>
      </c>
    </row>
    <row r="15" ht="46" customHeight="1" spans="1:16" x14ac:dyDescent="0.25">
      <c r="A15" s="20" t="s">
        <v>2319</v>
      </c>
      <c r="B15" s="20" t="s">
        <v>41</v>
      </c>
      <c r="C15" s="20" t="s">
        <v>291</v>
      </c>
      <c r="D15" s="20" t="s">
        <v>2320</v>
      </c>
      <c r="E15" s="20" t="s">
        <v>2299</v>
      </c>
      <c r="F15" s="20" t="s">
        <v>293</v>
      </c>
      <c r="G15" s="20" t="s">
        <v>295</v>
      </c>
      <c r="H15" s="20" t="s">
        <v>297</v>
      </c>
      <c r="I15" s="20" t="s">
        <v>2300</v>
      </c>
      <c r="J15" s="20" t="s">
        <v>37</v>
      </c>
      <c r="K15" s="20" t="s">
        <v>2301</v>
      </c>
      <c r="L15" s="20" t="s">
        <v>2302</v>
      </c>
      <c r="M15" s="20" t="s">
        <v>37</v>
      </c>
      <c r="N15" s="20" t="s">
        <v>2207</v>
      </c>
      <c r="O15" s="20" t="s">
        <v>37</v>
      </c>
      <c r="P15" s="20" t="s">
        <v>297</v>
      </c>
    </row>
    <row r="16" ht="46" customHeight="1" spans="1:16" x14ac:dyDescent="0.25">
      <c r="A16" s="17" t="s">
        <v>2321</v>
      </c>
      <c r="B16" s="17" t="s">
        <v>41</v>
      </c>
      <c r="C16" s="17" t="s">
        <v>299</v>
      </c>
      <c r="D16" s="17" t="s">
        <v>2322</v>
      </c>
      <c r="E16" s="17" t="s">
        <v>2299</v>
      </c>
      <c r="F16" s="17" t="s">
        <v>301</v>
      </c>
      <c r="G16" s="17" t="s">
        <v>303</v>
      </c>
      <c r="H16" s="17" t="s">
        <v>297</v>
      </c>
      <c r="I16" s="17" t="s">
        <v>2300</v>
      </c>
      <c r="J16" s="17" t="s">
        <v>37</v>
      </c>
      <c r="K16" s="17" t="s">
        <v>2301</v>
      </c>
      <c r="L16" s="17" t="s">
        <v>2302</v>
      </c>
      <c r="M16" s="17" t="s">
        <v>37</v>
      </c>
      <c r="N16" s="17" t="s">
        <v>2207</v>
      </c>
      <c r="O16" s="17" t="s">
        <v>37</v>
      </c>
      <c r="P16" s="17" t="s">
        <v>297</v>
      </c>
    </row>
    <row r="17" ht="46" customHeight="1" spans="1:16" x14ac:dyDescent="0.25">
      <c r="A17" s="20" t="s">
        <v>2323</v>
      </c>
      <c r="B17" s="20" t="s">
        <v>41</v>
      </c>
      <c r="C17" s="20" t="s">
        <v>306</v>
      </c>
      <c r="D17" s="20" t="s">
        <v>2324</v>
      </c>
      <c r="E17" s="20" t="s">
        <v>2299</v>
      </c>
      <c r="F17" s="20" t="s">
        <v>308</v>
      </c>
      <c r="G17" s="20" t="s">
        <v>310</v>
      </c>
      <c r="H17" s="20" t="s">
        <v>297</v>
      </c>
      <c r="I17" s="20" t="s">
        <v>2300</v>
      </c>
      <c r="J17" s="20" t="s">
        <v>37</v>
      </c>
      <c r="K17" s="20" t="s">
        <v>2301</v>
      </c>
      <c r="L17" s="20" t="s">
        <v>2302</v>
      </c>
      <c r="M17" s="20" t="s">
        <v>37</v>
      </c>
      <c r="N17" s="20" t="s">
        <v>2207</v>
      </c>
      <c r="O17" s="20" t="s">
        <v>37</v>
      </c>
      <c r="P17" s="20" t="s">
        <v>297</v>
      </c>
    </row>
    <row r="18" ht="46" customHeight="1" spans="1:16" x14ac:dyDescent="0.25">
      <c r="A18" s="17" t="s">
        <v>2325</v>
      </c>
      <c r="B18" s="17" t="s">
        <v>41</v>
      </c>
      <c r="C18" s="17" t="s">
        <v>313</v>
      </c>
      <c r="D18" s="17" t="s">
        <v>2326</v>
      </c>
      <c r="E18" s="17" t="s">
        <v>2299</v>
      </c>
      <c r="F18" s="17" t="s">
        <v>315</v>
      </c>
      <c r="G18" s="17" t="s">
        <v>317</v>
      </c>
      <c r="H18" s="17" t="s">
        <v>297</v>
      </c>
      <c r="I18" s="17" t="s">
        <v>2300</v>
      </c>
      <c r="J18" s="17" t="s">
        <v>37</v>
      </c>
      <c r="K18" s="17" t="s">
        <v>2301</v>
      </c>
      <c r="L18" s="17" t="s">
        <v>2302</v>
      </c>
      <c r="M18" s="17" t="s">
        <v>37</v>
      </c>
      <c r="N18" s="17" t="s">
        <v>2207</v>
      </c>
      <c r="O18" s="17" t="s">
        <v>37</v>
      </c>
      <c r="P18" s="17" t="s">
        <v>297</v>
      </c>
    </row>
    <row r="19" ht="46" customHeight="1" spans="1:16" x14ac:dyDescent="0.25">
      <c r="A19" s="20" t="s">
        <v>2327</v>
      </c>
      <c r="B19" s="20" t="s">
        <v>41</v>
      </c>
      <c r="C19" s="20" t="s">
        <v>320</v>
      </c>
      <c r="D19" s="20" t="s">
        <v>2328</v>
      </c>
      <c r="E19" s="20" t="s">
        <v>2299</v>
      </c>
      <c r="F19" s="20" t="s">
        <v>322</v>
      </c>
      <c r="G19" s="20" t="s">
        <v>324</v>
      </c>
      <c r="H19" s="20" t="s">
        <v>297</v>
      </c>
      <c r="I19" s="20" t="s">
        <v>2300</v>
      </c>
      <c r="J19" s="20" t="s">
        <v>37</v>
      </c>
      <c r="K19" s="20" t="s">
        <v>2301</v>
      </c>
      <c r="L19" s="20" t="s">
        <v>2302</v>
      </c>
      <c r="M19" s="20" t="s">
        <v>37</v>
      </c>
      <c r="N19" s="20" t="s">
        <v>2207</v>
      </c>
      <c r="O19" s="20" t="s">
        <v>37</v>
      </c>
      <c r="P19" s="20" t="s">
        <v>297</v>
      </c>
    </row>
    <row r="20" ht="46" customHeight="1" spans="1:16" x14ac:dyDescent="0.25">
      <c r="A20" s="17" t="s">
        <v>2329</v>
      </c>
      <c r="B20" s="17" t="s">
        <v>41</v>
      </c>
      <c r="C20" s="17" t="s">
        <v>327</v>
      </c>
      <c r="D20" s="17" t="s">
        <v>2330</v>
      </c>
      <c r="E20" s="17" t="s">
        <v>2299</v>
      </c>
      <c r="F20" s="17" t="s">
        <v>329</v>
      </c>
      <c r="G20" s="17" t="s">
        <v>331</v>
      </c>
      <c r="H20" s="17" t="s">
        <v>297</v>
      </c>
      <c r="I20" s="17" t="s">
        <v>2300</v>
      </c>
      <c r="J20" s="17" t="s">
        <v>37</v>
      </c>
      <c r="K20" s="17" t="s">
        <v>2301</v>
      </c>
      <c r="L20" s="17" t="s">
        <v>2302</v>
      </c>
      <c r="M20" s="17" t="s">
        <v>37</v>
      </c>
      <c r="N20" s="17" t="s">
        <v>2207</v>
      </c>
      <c r="O20" s="17" t="s">
        <v>37</v>
      </c>
      <c r="P20" s="17" t="s">
        <v>297</v>
      </c>
    </row>
    <row r="21" ht="46" customHeight="1" spans="1:16" x14ac:dyDescent="0.25">
      <c r="A21" s="20" t="s">
        <v>2331</v>
      </c>
      <c r="B21" s="20" t="s">
        <v>41</v>
      </c>
      <c r="C21" s="20" t="s">
        <v>334</v>
      </c>
      <c r="D21" s="20" t="s">
        <v>2332</v>
      </c>
      <c r="E21" s="20" t="s">
        <v>2299</v>
      </c>
      <c r="F21" s="20" t="s">
        <v>336</v>
      </c>
      <c r="G21" s="20" t="s">
        <v>338</v>
      </c>
      <c r="H21" s="20" t="s">
        <v>297</v>
      </c>
      <c r="I21" s="20" t="s">
        <v>2300</v>
      </c>
      <c r="J21" s="20" t="s">
        <v>37</v>
      </c>
      <c r="K21" s="20" t="s">
        <v>2301</v>
      </c>
      <c r="L21" s="20" t="s">
        <v>2302</v>
      </c>
      <c r="M21" s="20" t="s">
        <v>37</v>
      </c>
      <c r="N21" s="20" t="s">
        <v>2207</v>
      </c>
      <c r="O21" s="20" t="s">
        <v>37</v>
      </c>
      <c r="P21" s="20" t="s">
        <v>297</v>
      </c>
    </row>
    <row r="22" ht="46" customHeight="1" spans="1:16" x14ac:dyDescent="0.25">
      <c r="A22" s="17" t="s">
        <v>2333</v>
      </c>
      <c r="B22" s="17" t="s">
        <v>41</v>
      </c>
      <c r="C22" s="17" t="s">
        <v>341</v>
      </c>
      <c r="D22" s="17" t="s">
        <v>2334</v>
      </c>
      <c r="E22" s="17" t="s">
        <v>2299</v>
      </c>
      <c r="F22" s="17" t="s">
        <v>343</v>
      </c>
      <c r="G22" s="17" t="s">
        <v>345</v>
      </c>
      <c r="H22" s="17" t="s">
        <v>297</v>
      </c>
      <c r="I22" s="17" t="s">
        <v>2300</v>
      </c>
      <c r="J22" s="17" t="s">
        <v>37</v>
      </c>
      <c r="K22" s="17" t="s">
        <v>2301</v>
      </c>
      <c r="L22" s="17" t="s">
        <v>2302</v>
      </c>
      <c r="M22" s="17" t="s">
        <v>37</v>
      </c>
      <c r="N22" s="17" t="s">
        <v>2207</v>
      </c>
      <c r="O22" s="17" t="s">
        <v>37</v>
      </c>
      <c r="P22" s="17" t="s">
        <v>297</v>
      </c>
    </row>
    <row r="23" ht="46" customHeight="1" spans="1:16" x14ac:dyDescent="0.25">
      <c r="A23" s="20" t="s">
        <v>2335</v>
      </c>
      <c r="B23" s="20" t="s">
        <v>41</v>
      </c>
      <c r="C23" s="20" t="s">
        <v>348</v>
      </c>
      <c r="D23" s="20" t="s">
        <v>2336</v>
      </c>
      <c r="E23" s="20" t="s">
        <v>2299</v>
      </c>
      <c r="F23" s="20" t="s">
        <v>350</v>
      </c>
      <c r="G23" s="20" t="s">
        <v>352</v>
      </c>
      <c r="H23" s="20" t="s">
        <v>297</v>
      </c>
      <c r="I23" s="20" t="s">
        <v>2300</v>
      </c>
      <c r="J23" s="20" t="s">
        <v>37</v>
      </c>
      <c r="K23" s="20" t="s">
        <v>2301</v>
      </c>
      <c r="L23" s="20" t="s">
        <v>2302</v>
      </c>
      <c r="M23" s="20" t="s">
        <v>37</v>
      </c>
      <c r="N23" s="20" t="s">
        <v>2207</v>
      </c>
      <c r="O23" s="20" t="s">
        <v>37</v>
      </c>
      <c r="P23" s="20" t="s">
        <v>297</v>
      </c>
    </row>
    <row r="24" ht="46" customHeight="1" spans="1:16" x14ac:dyDescent="0.25">
      <c r="A24" s="17" t="s">
        <v>2337</v>
      </c>
      <c r="B24" s="17" t="s">
        <v>41</v>
      </c>
      <c r="C24" s="17" t="s">
        <v>355</v>
      </c>
      <c r="D24" s="17" t="s">
        <v>2338</v>
      </c>
      <c r="E24" s="17" t="s">
        <v>2299</v>
      </c>
      <c r="F24" s="17" t="s">
        <v>357</v>
      </c>
      <c r="G24" s="17" t="s">
        <v>359</v>
      </c>
      <c r="H24" s="17" t="s">
        <v>297</v>
      </c>
      <c r="I24" s="17" t="s">
        <v>2300</v>
      </c>
      <c r="J24" s="17" t="s">
        <v>37</v>
      </c>
      <c r="K24" s="17" t="s">
        <v>2301</v>
      </c>
      <c r="L24" s="17" t="s">
        <v>2302</v>
      </c>
      <c r="M24" s="17" t="s">
        <v>37</v>
      </c>
      <c r="N24" s="17" t="s">
        <v>2207</v>
      </c>
      <c r="O24" s="17" t="s">
        <v>37</v>
      </c>
      <c r="P24" s="17" t="s">
        <v>297</v>
      </c>
    </row>
    <row r="25" ht="46" customHeight="1" spans="1:16" x14ac:dyDescent="0.25">
      <c r="A25" s="20" t="s">
        <v>2339</v>
      </c>
      <c r="B25" s="20" t="s">
        <v>41</v>
      </c>
      <c r="C25" s="20" t="s">
        <v>362</v>
      </c>
      <c r="D25" s="20" t="s">
        <v>2340</v>
      </c>
      <c r="E25" s="20" t="s">
        <v>2299</v>
      </c>
      <c r="F25" s="20" t="s">
        <v>364</v>
      </c>
      <c r="G25" s="20" t="s">
        <v>366</v>
      </c>
      <c r="H25" s="20" t="s">
        <v>297</v>
      </c>
      <c r="I25" s="20" t="s">
        <v>2300</v>
      </c>
      <c r="J25" s="20" t="s">
        <v>37</v>
      </c>
      <c r="K25" s="20" t="s">
        <v>2301</v>
      </c>
      <c r="L25" s="20" t="s">
        <v>2302</v>
      </c>
      <c r="M25" s="20" t="s">
        <v>37</v>
      </c>
      <c r="N25" s="20" t="s">
        <v>2207</v>
      </c>
      <c r="O25" s="20" t="s">
        <v>37</v>
      </c>
      <c r="P25" s="20" t="s">
        <v>297</v>
      </c>
    </row>
    <row r="26" ht="46" customHeight="1" spans="1:16" x14ac:dyDescent="0.25">
      <c r="A26" s="17" t="s">
        <v>2341</v>
      </c>
      <c r="B26" s="17" t="s">
        <v>41</v>
      </c>
      <c r="C26" s="17" t="s">
        <v>369</v>
      </c>
      <c r="D26" s="17" t="s">
        <v>2342</v>
      </c>
      <c r="E26" s="17" t="s">
        <v>2299</v>
      </c>
      <c r="F26" s="17" t="s">
        <v>371</v>
      </c>
      <c r="G26" s="17" t="s">
        <v>373</v>
      </c>
      <c r="H26" s="17" t="s">
        <v>297</v>
      </c>
      <c r="I26" s="17" t="s">
        <v>2300</v>
      </c>
      <c r="J26" s="17" t="s">
        <v>37</v>
      </c>
      <c r="K26" s="17" t="s">
        <v>2301</v>
      </c>
      <c r="L26" s="17" t="s">
        <v>2302</v>
      </c>
      <c r="M26" s="17" t="s">
        <v>37</v>
      </c>
      <c r="N26" s="17" t="s">
        <v>2207</v>
      </c>
      <c r="O26" s="17" t="s">
        <v>37</v>
      </c>
      <c r="P26" s="17" t="s">
        <v>297</v>
      </c>
    </row>
    <row r="27" ht="46" customHeight="1" spans="1:16" x14ac:dyDescent="0.25">
      <c r="A27" s="20" t="s">
        <v>2343</v>
      </c>
      <c r="B27" s="20" t="s">
        <v>41</v>
      </c>
      <c r="C27" s="20" t="s">
        <v>376</v>
      </c>
      <c r="D27" s="20" t="s">
        <v>2344</v>
      </c>
      <c r="E27" s="20" t="s">
        <v>2299</v>
      </c>
      <c r="F27" s="20" t="s">
        <v>378</v>
      </c>
      <c r="G27" s="20" t="s">
        <v>380</v>
      </c>
      <c r="H27" s="20" t="s">
        <v>297</v>
      </c>
      <c r="I27" s="20" t="s">
        <v>2300</v>
      </c>
      <c r="J27" s="20" t="s">
        <v>37</v>
      </c>
      <c r="K27" s="20" t="s">
        <v>2301</v>
      </c>
      <c r="L27" s="20" t="s">
        <v>2302</v>
      </c>
      <c r="M27" s="20" t="s">
        <v>37</v>
      </c>
      <c r="N27" s="20" t="s">
        <v>2207</v>
      </c>
      <c r="O27" s="20" t="s">
        <v>37</v>
      </c>
      <c r="P27" s="20" t="s">
        <v>297</v>
      </c>
    </row>
    <row r="28" ht="46" customHeight="1" spans="1:16" x14ac:dyDescent="0.25">
      <c r="A28" s="17" t="s">
        <v>2345</v>
      </c>
      <c r="B28" s="17" t="s">
        <v>42</v>
      </c>
      <c r="C28" s="17" t="s">
        <v>383</v>
      </c>
      <c r="D28" s="17" t="s">
        <v>2346</v>
      </c>
      <c r="E28" s="17" t="s">
        <v>2299</v>
      </c>
      <c r="F28" s="17" t="s">
        <v>385</v>
      </c>
      <c r="G28" s="17" t="s">
        <v>387</v>
      </c>
      <c r="H28" s="17" t="s">
        <v>389</v>
      </c>
      <c r="I28" s="17" t="s">
        <v>2300</v>
      </c>
      <c r="J28" s="17" t="s">
        <v>37</v>
      </c>
      <c r="K28" s="17" t="s">
        <v>2301</v>
      </c>
      <c r="L28" s="17" t="s">
        <v>2302</v>
      </c>
      <c r="M28" s="17" t="s">
        <v>37</v>
      </c>
      <c r="N28" s="17" t="s">
        <v>2207</v>
      </c>
      <c r="O28" s="17" t="s">
        <v>37</v>
      </c>
      <c r="P28" s="17" t="s">
        <v>389</v>
      </c>
    </row>
    <row r="29" ht="46" customHeight="1" spans="1:16" x14ac:dyDescent="0.25">
      <c r="A29" s="20" t="s">
        <v>2347</v>
      </c>
      <c r="B29" s="20" t="s">
        <v>42</v>
      </c>
      <c r="C29" s="20" t="s">
        <v>391</v>
      </c>
      <c r="D29" s="20" t="s">
        <v>2348</v>
      </c>
      <c r="E29" s="20" t="s">
        <v>2299</v>
      </c>
      <c r="F29" s="20" t="s">
        <v>393</v>
      </c>
      <c r="G29" s="20" t="s">
        <v>395</v>
      </c>
      <c r="H29" s="20" t="s">
        <v>389</v>
      </c>
      <c r="I29" s="20" t="s">
        <v>2300</v>
      </c>
      <c r="J29" s="20" t="s">
        <v>37</v>
      </c>
      <c r="K29" s="20" t="s">
        <v>2301</v>
      </c>
      <c r="L29" s="20" t="s">
        <v>2302</v>
      </c>
      <c r="M29" s="20" t="s">
        <v>37</v>
      </c>
      <c r="N29" s="20" t="s">
        <v>2207</v>
      </c>
      <c r="O29" s="20" t="s">
        <v>37</v>
      </c>
      <c r="P29" s="20" t="s">
        <v>389</v>
      </c>
    </row>
    <row r="30" ht="46" customHeight="1" spans="1:16" x14ac:dyDescent="0.25">
      <c r="A30" s="17" t="s">
        <v>2349</v>
      </c>
      <c r="B30" s="17" t="s">
        <v>42</v>
      </c>
      <c r="C30" s="17" t="s">
        <v>398</v>
      </c>
      <c r="D30" s="17" t="s">
        <v>2350</v>
      </c>
      <c r="E30" s="17" t="s">
        <v>2299</v>
      </c>
      <c r="F30" s="17" t="s">
        <v>400</v>
      </c>
      <c r="G30" s="17" t="s">
        <v>402</v>
      </c>
      <c r="H30" s="17" t="s">
        <v>389</v>
      </c>
      <c r="I30" s="17" t="s">
        <v>2300</v>
      </c>
      <c r="J30" s="17" t="s">
        <v>37</v>
      </c>
      <c r="K30" s="17" t="s">
        <v>2301</v>
      </c>
      <c r="L30" s="17" t="s">
        <v>2302</v>
      </c>
      <c r="M30" s="17" t="s">
        <v>37</v>
      </c>
      <c r="N30" s="17" t="s">
        <v>2207</v>
      </c>
      <c r="O30" s="17" t="s">
        <v>37</v>
      </c>
      <c r="P30" s="17" t="s">
        <v>389</v>
      </c>
    </row>
    <row r="31" ht="46" customHeight="1" spans="1:16" x14ac:dyDescent="0.25">
      <c r="A31" s="20" t="s">
        <v>2351</v>
      </c>
      <c r="B31" s="20" t="s">
        <v>42</v>
      </c>
      <c r="C31" s="20" t="s">
        <v>405</v>
      </c>
      <c r="D31" s="20" t="s">
        <v>2352</v>
      </c>
      <c r="E31" s="20" t="s">
        <v>2299</v>
      </c>
      <c r="F31" s="20" t="s">
        <v>407</v>
      </c>
      <c r="G31" s="20" t="s">
        <v>409</v>
      </c>
      <c r="H31" s="20" t="s">
        <v>389</v>
      </c>
      <c r="I31" s="20" t="s">
        <v>2300</v>
      </c>
      <c r="J31" s="20" t="s">
        <v>37</v>
      </c>
      <c r="K31" s="20" t="s">
        <v>2301</v>
      </c>
      <c r="L31" s="20" t="s">
        <v>2302</v>
      </c>
      <c r="M31" s="20" t="s">
        <v>37</v>
      </c>
      <c r="N31" s="20" t="s">
        <v>2207</v>
      </c>
      <c r="O31" s="20" t="s">
        <v>37</v>
      </c>
      <c r="P31" s="20" t="s">
        <v>389</v>
      </c>
    </row>
    <row r="32" ht="46" customHeight="1" spans="1:16" x14ac:dyDescent="0.25">
      <c r="A32" s="17" t="s">
        <v>2353</v>
      </c>
      <c r="B32" s="17" t="s">
        <v>42</v>
      </c>
      <c r="C32" s="17" t="s">
        <v>412</v>
      </c>
      <c r="D32" s="17" t="s">
        <v>2354</v>
      </c>
      <c r="E32" s="17" t="s">
        <v>2299</v>
      </c>
      <c r="F32" s="17" t="s">
        <v>414</v>
      </c>
      <c r="G32" s="17" t="s">
        <v>416</v>
      </c>
      <c r="H32" s="17" t="s">
        <v>389</v>
      </c>
      <c r="I32" s="17" t="s">
        <v>2300</v>
      </c>
      <c r="J32" s="17" t="s">
        <v>37</v>
      </c>
      <c r="K32" s="17" t="s">
        <v>2301</v>
      </c>
      <c r="L32" s="17" t="s">
        <v>2302</v>
      </c>
      <c r="M32" s="17" t="s">
        <v>37</v>
      </c>
      <c r="N32" s="17" t="s">
        <v>2207</v>
      </c>
      <c r="O32" s="17" t="s">
        <v>37</v>
      </c>
      <c r="P32" s="17" t="s">
        <v>389</v>
      </c>
    </row>
    <row r="33" ht="46" customHeight="1" spans="1:16" x14ac:dyDescent="0.25">
      <c r="A33" s="20" t="s">
        <v>2355</v>
      </c>
      <c r="B33" s="20" t="s">
        <v>42</v>
      </c>
      <c r="C33" s="20" t="s">
        <v>419</v>
      </c>
      <c r="D33" s="20" t="s">
        <v>2356</v>
      </c>
      <c r="E33" s="20" t="s">
        <v>2299</v>
      </c>
      <c r="F33" s="20" t="s">
        <v>421</v>
      </c>
      <c r="G33" s="20" t="s">
        <v>423</v>
      </c>
      <c r="H33" s="20" t="s">
        <v>389</v>
      </c>
      <c r="I33" s="20" t="s">
        <v>2300</v>
      </c>
      <c r="J33" s="20" t="s">
        <v>37</v>
      </c>
      <c r="K33" s="20" t="s">
        <v>2301</v>
      </c>
      <c r="L33" s="20" t="s">
        <v>2302</v>
      </c>
      <c r="M33" s="20" t="s">
        <v>37</v>
      </c>
      <c r="N33" s="20" t="s">
        <v>2207</v>
      </c>
      <c r="O33" s="20" t="s">
        <v>37</v>
      </c>
      <c r="P33" s="20" t="s">
        <v>389</v>
      </c>
    </row>
    <row r="34" ht="46" customHeight="1" spans="1:16" x14ac:dyDescent="0.25">
      <c r="A34" s="17" t="s">
        <v>2357</v>
      </c>
      <c r="B34" s="17" t="s">
        <v>42</v>
      </c>
      <c r="C34" s="17" t="s">
        <v>426</v>
      </c>
      <c r="D34" s="17" t="s">
        <v>2358</v>
      </c>
      <c r="E34" s="17" t="s">
        <v>2299</v>
      </c>
      <c r="F34" s="17" t="s">
        <v>428</v>
      </c>
      <c r="G34" s="17" t="s">
        <v>430</v>
      </c>
      <c r="H34" s="17" t="s">
        <v>389</v>
      </c>
      <c r="I34" s="17" t="s">
        <v>2300</v>
      </c>
      <c r="J34" s="17" t="s">
        <v>37</v>
      </c>
      <c r="K34" s="17" t="s">
        <v>2301</v>
      </c>
      <c r="L34" s="17" t="s">
        <v>2302</v>
      </c>
      <c r="M34" s="17" t="s">
        <v>37</v>
      </c>
      <c r="N34" s="17" t="s">
        <v>2207</v>
      </c>
      <c r="O34" s="17" t="s">
        <v>37</v>
      </c>
      <c r="P34" s="17" t="s">
        <v>389</v>
      </c>
    </row>
    <row r="35" ht="46" customHeight="1" spans="1:16" x14ac:dyDescent="0.25">
      <c r="A35" s="20" t="s">
        <v>2359</v>
      </c>
      <c r="B35" s="20" t="s">
        <v>42</v>
      </c>
      <c r="C35" s="20" t="s">
        <v>433</v>
      </c>
      <c r="D35" s="20" t="s">
        <v>2360</v>
      </c>
      <c r="E35" s="20" t="s">
        <v>2299</v>
      </c>
      <c r="F35" s="20" t="s">
        <v>435</v>
      </c>
      <c r="G35" s="20" t="s">
        <v>437</v>
      </c>
      <c r="H35" s="20" t="s">
        <v>389</v>
      </c>
      <c r="I35" s="20" t="s">
        <v>2300</v>
      </c>
      <c r="J35" s="20" t="s">
        <v>37</v>
      </c>
      <c r="K35" s="20" t="s">
        <v>2301</v>
      </c>
      <c r="L35" s="20" t="s">
        <v>2302</v>
      </c>
      <c r="M35" s="20" t="s">
        <v>37</v>
      </c>
      <c r="N35" s="20" t="s">
        <v>2207</v>
      </c>
      <c r="O35" s="20" t="s">
        <v>37</v>
      </c>
      <c r="P35" s="20" t="s">
        <v>389</v>
      </c>
    </row>
    <row r="36" ht="46" customHeight="1" spans="1:16" x14ac:dyDescent="0.25">
      <c r="A36" s="17" t="s">
        <v>2361</v>
      </c>
      <c r="B36" s="17" t="s">
        <v>42</v>
      </c>
      <c r="C36" s="17" t="s">
        <v>440</v>
      </c>
      <c r="D36" s="17" t="s">
        <v>2362</v>
      </c>
      <c r="E36" s="17" t="s">
        <v>2299</v>
      </c>
      <c r="F36" s="17" t="s">
        <v>442</v>
      </c>
      <c r="G36" s="17" t="s">
        <v>444</v>
      </c>
      <c r="H36" s="17" t="s">
        <v>389</v>
      </c>
      <c r="I36" s="17" t="s">
        <v>2300</v>
      </c>
      <c r="J36" s="17" t="s">
        <v>37</v>
      </c>
      <c r="K36" s="17" t="s">
        <v>2301</v>
      </c>
      <c r="L36" s="17" t="s">
        <v>2302</v>
      </c>
      <c r="M36" s="17" t="s">
        <v>37</v>
      </c>
      <c r="N36" s="17" t="s">
        <v>2207</v>
      </c>
      <c r="O36" s="17" t="s">
        <v>37</v>
      </c>
      <c r="P36" s="17" t="s">
        <v>389</v>
      </c>
    </row>
    <row r="37" ht="46" customHeight="1" spans="1:16" x14ac:dyDescent="0.25">
      <c r="A37" s="20" t="s">
        <v>2363</v>
      </c>
      <c r="B37" s="20" t="s">
        <v>42</v>
      </c>
      <c r="C37" s="20" t="s">
        <v>447</v>
      </c>
      <c r="D37" s="20" t="s">
        <v>2364</v>
      </c>
      <c r="E37" s="20" t="s">
        <v>2299</v>
      </c>
      <c r="F37" s="20" t="s">
        <v>449</v>
      </c>
      <c r="G37" s="20" t="s">
        <v>451</v>
      </c>
      <c r="H37" s="20" t="s">
        <v>389</v>
      </c>
      <c r="I37" s="20" t="s">
        <v>2300</v>
      </c>
      <c r="J37" s="20" t="s">
        <v>37</v>
      </c>
      <c r="K37" s="20" t="s">
        <v>2301</v>
      </c>
      <c r="L37" s="20" t="s">
        <v>2302</v>
      </c>
      <c r="M37" s="20" t="s">
        <v>37</v>
      </c>
      <c r="N37" s="20" t="s">
        <v>2207</v>
      </c>
      <c r="O37" s="20" t="s">
        <v>37</v>
      </c>
      <c r="P37" s="20" t="s">
        <v>389</v>
      </c>
    </row>
    <row r="38" ht="46" customHeight="1" spans="1:16" x14ac:dyDescent="0.25">
      <c r="A38" s="17" t="s">
        <v>2365</v>
      </c>
      <c r="B38" s="17" t="s">
        <v>43</v>
      </c>
      <c r="C38" s="17" t="s">
        <v>455</v>
      </c>
      <c r="D38" s="17" t="s">
        <v>2366</v>
      </c>
      <c r="E38" s="17" t="s">
        <v>2299</v>
      </c>
      <c r="F38" s="17" t="s">
        <v>457</v>
      </c>
      <c r="G38" s="17" t="s">
        <v>459</v>
      </c>
      <c r="H38" s="17" t="s">
        <v>460</v>
      </c>
      <c r="I38" s="17" t="s">
        <v>2300</v>
      </c>
      <c r="J38" s="17" t="s">
        <v>37</v>
      </c>
      <c r="K38" s="17" t="s">
        <v>2301</v>
      </c>
      <c r="L38" s="17" t="s">
        <v>2302</v>
      </c>
      <c r="M38" s="17" t="s">
        <v>37</v>
      </c>
      <c r="N38" s="17" t="s">
        <v>2207</v>
      </c>
      <c r="O38" s="17" t="s">
        <v>37</v>
      </c>
      <c r="P38" s="17" t="s">
        <v>460</v>
      </c>
    </row>
    <row r="39" ht="46" customHeight="1" spans="1:16" x14ac:dyDescent="0.25">
      <c r="A39" s="20" t="s">
        <v>2367</v>
      </c>
      <c r="B39" s="20" t="s">
        <v>43</v>
      </c>
      <c r="C39" s="20" t="s">
        <v>462</v>
      </c>
      <c r="D39" s="20" t="s">
        <v>2368</v>
      </c>
      <c r="E39" s="20" t="s">
        <v>2299</v>
      </c>
      <c r="F39" s="20" t="s">
        <v>464</v>
      </c>
      <c r="G39" s="20" t="s">
        <v>466</v>
      </c>
      <c r="H39" s="20" t="s">
        <v>460</v>
      </c>
      <c r="I39" s="20" t="s">
        <v>2300</v>
      </c>
      <c r="J39" s="20" t="s">
        <v>37</v>
      </c>
      <c r="K39" s="20" t="s">
        <v>2301</v>
      </c>
      <c r="L39" s="20" t="s">
        <v>2302</v>
      </c>
      <c r="M39" s="20" t="s">
        <v>37</v>
      </c>
      <c r="N39" s="20" t="s">
        <v>2207</v>
      </c>
      <c r="O39" s="20" t="s">
        <v>37</v>
      </c>
      <c r="P39" s="20" t="s">
        <v>460</v>
      </c>
    </row>
    <row r="40" ht="46" customHeight="1" spans="1:16" x14ac:dyDescent="0.25">
      <c r="A40" s="17" t="s">
        <v>2369</v>
      </c>
      <c r="B40" s="17" t="s">
        <v>43</v>
      </c>
      <c r="C40" s="17" t="s">
        <v>469</v>
      </c>
      <c r="D40" s="17" t="s">
        <v>2370</v>
      </c>
      <c r="E40" s="17" t="s">
        <v>2299</v>
      </c>
      <c r="F40" s="17" t="s">
        <v>471</v>
      </c>
      <c r="G40" s="17" t="s">
        <v>473</v>
      </c>
      <c r="H40" s="17" t="s">
        <v>460</v>
      </c>
      <c r="I40" s="17" t="s">
        <v>2300</v>
      </c>
      <c r="J40" s="17" t="s">
        <v>37</v>
      </c>
      <c r="K40" s="17" t="s">
        <v>2301</v>
      </c>
      <c r="L40" s="17" t="s">
        <v>2302</v>
      </c>
      <c r="M40" s="17" t="s">
        <v>37</v>
      </c>
      <c r="N40" s="17" t="s">
        <v>2207</v>
      </c>
      <c r="O40" s="17" t="s">
        <v>37</v>
      </c>
      <c r="P40" s="17" t="s">
        <v>460</v>
      </c>
    </row>
    <row r="41" ht="46" customHeight="1" spans="1:16" x14ac:dyDescent="0.25">
      <c r="A41" s="20" t="s">
        <v>2371</v>
      </c>
      <c r="B41" s="20" t="s">
        <v>43</v>
      </c>
      <c r="C41" s="20" t="s">
        <v>476</v>
      </c>
      <c r="D41" s="20" t="s">
        <v>2372</v>
      </c>
      <c r="E41" s="20" t="s">
        <v>2299</v>
      </c>
      <c r="F41" s="20" t="s">
        <v>478</v>
      </c>
      <c r="G41" s="20" t="s">
        <v>480</v>
      </c>
      <c r="H41" s="20" t="s">
        <v>460</v>
      </c>
      <c r="I41" s="20" t="s">
        <v>2300</v>
      </c>
      <c r="J41" s="20" t="s">
        <v>37</v>
      </c>
      <c r="K41" s="20" t="s">
        <v>2301</v>
      </c>
      <c r="L41" s="20" t="s">
        <v>2302</v>
      </c>
      <c r="M41" s="20" t="s">
        <v>37</v>
      </c>
      <c r="N41" s="20" t="s">
        <v>2207</v>
      </c>
      <c r="O41" s="20" t="s">
        <v>37</v>
      </c>
      <c r="P41" s="20" t="s">
        <v>460</v>
      </c>
    </row>
    <row r="42" ht="46" customHeight="1" spans="1:16" x14ac:dyDescent="0.25">
      <c r="A42" s="17" t="s">
        <v>2373</v>
      </c>
      <c r="B42" s="17" t="s">
        <v>43</v>
      </c>
      <c r="C42" s="17" t="s">
        <v>483</v>
      </c>
      <c r="D42" s="17" t="s">
        <v>2374</v>
      </c>
      <c r="E42" s="17" t="s">
        <v>2299</v>
      </c>
      <c r="F42" s="17" t="s">
        <v>485</v>
      </c>
      <c r="G42" s="17" t="s">
        <v>487</v>
      </c>
      <c r="H42" s="17" t="s">
        <v>460</v>
      </c>
      <c r="I42" s="17" t="s">
        <v>2300</v>
      </c>
      <c r="J42" s="17" t="s">
        <v>37</v>
      </c>
      <c r="K42" s="17" t="s">
        <v>2301</v>
      </c>
      <c r="L42" s="17" t="s">
        <v>2302</v>
      </c>
      <c r="M42" s="17" t="s">
        <v>37</v>
      </c>
      <c r="N42" s="17" t="s">
        <v>2207</v>
      </c>
      <c r="O42" s="17" t="s">
        <v>37</v>
      </c>
      <c r="P42" s="17" t="s">
        <v>460</v>
      </c>
    </row>
    <row r="43" ht="46" customHeight="1" spans="1:16" x14ac:dyDescent="0.25">
      <c r="A43" s="20" t="s">
        <v>2375</v>
      </c>
      <c r="B43" s="20" t="s">
        <v>43</v>
      </c>
      <c r="C43" s="20" t="s">
        <v>490</v>
      </c>
      <c r="D43" s="20" t="s">
        <v>2376</v>
      </c>
      <c r="E43" s="20" t="s">
        <v>2299</v>
      </c>
      <c r="F43" s="20" t="s">
        <v>492</v>
      </c>
      <c r="G43" s="20" t="s">
        <v>494</v>
      </c>
      <c r="H43" s="20" t="s">
        <v>460</v>
      </c>
      <c r="I43" s="20" t="s">
        <v>2300</v>
      </c>
      <c r="J43" s="20" t="s">
        <v>37</v>
      </c>
      <c r="K43" s="20" t="s">
        <v>2301</v>
      </c>
      <c r="L43" s="20" t="s">
        <v>2302</v>
      </c>
      <c r="M43" s="20" t="s">
        <v>37</v>
      </c>
      <c r="N43" s="20" t="s">
        <v>2207</v>
      </c>
      <c r="O43" s="20" t="s">
        <v>37</v>
      </c>
      <c r="P43" s="20" t="s">
        <v>460</v>
      </c>
    </row>
    <row r="44" ht="46" customHeight="1" spans="1:16" x14ac:dyDescent="0.25">
      <c r="A44" s="17" t="s">
        <v>2377</v>
      </c>
      <c r="B44" s="17" t="s">
        <v>43</v>
      </c>
      <c r="C44" s="17" t="s">
        <v>497</v>
      </c>
      <c r="D44" s="17" t="s">
        <v>2378</v>
      </c>
      <c r="E44" s="17" t="s">
        <v>2299</v>
      </c>
      <c r="F44" s="17" t="s">
        <v>499</v>
      </c>
      <c r="G44" s="17" t="s">
        <v>501</v>
      </c>
      <c r="H44" s="17" t="s">
        <v>460</v>
      </c>
      <c r="I44" s="17" t="s">
        <v>2300</v>
      </c>
      <c r="J44" s="17" t="s">
        <v>37</v>
      </c>
      <c r="K44" s="17" t="s">
        <v>2301</v>
      </c>
      <c r="L44" s="17" t="s">
        <v>2302</v>
      </c>
      <c r="M44" s="17" t="s">
        <v>37</v>
      </c>
      <c r="N44" s="17" t="s">
        <v>2207</v>
      </c>
      <c r="O44" s="17" t="s">
        <v>37</v>
      </c>
      <c r="P44" s="17" t="s">
        <v>460</v>
      </c>
    </row>
    <row r="45" ht="46" customHeight="1" spans="1:16" x14ac:dyDescent="0.25">
      <c r="A45" s="20" t="s">
        <v>2379</v>
      </c>
      <c r="B45" s="20" t="s">
        <v>43</v>
      </c>
      <c r="C45" s="20" t="s">
        <v>504</v>
      </c>
      <c r="D45" s="20" t="s">
        <v>2380</v>
      </c>
      <c r="E45" s="20" t="s">
        <v>2299</v>
      </c>
      <c r="F45" s="20" t="s">
        <v>506</v>
      </c>
      <c r="G45" s="20" t="s">
        <v>508</v>
      </c>
      <c r="H45" s="20" t="s">
        <v>460</v>
      </c>
      <c r="I45" s="20" t="s">
        <v>2300</v>
      </c>
      <c r="J45" s="20" t="s">
        <v>37</v>
      </c>
      <c r="K45" s="20" t="s">
        <v>2301</v>
      </c>
      <c r="L45" s="20" t="s">
        <v>2302</v>
      </c>
      <c r="M45" s="20" t="s">
        <v>37</v>
      </c>
      <c r="N45" s="20" t="s">
        <v>2207</v>
      </c>
      <c r="O45" s="20" t="s">
        <v>37</v>
      </c>
      <c r="P45" s="20" t="s">
        <v>460</v>
      </c>
    </row>
    <row r="46" ht="46" customHeight="1" spans="1:16" x14ac:dyDescent="0.25">
      <c r="A46" s="17" t="s">
        <v>2381</v>
      </c>
      <c r="B46" s="17" t="s">
        <v>43</v>
      </c>
      <c r="C46" s="17" t="s">
        <v>511</v>
      </c>
      <c r="D46" s="17" t="s">
        <v>2382</v>
      </c>
      <c r="E46" s="17" t="s">
        <v>2299</v>
      </c>
      <c r="F46" s="17" t="s">
        <v>513</v>
      </c>
      <c r="G46" s="17" t="s">
        <v>515</v>
      </c>
      <c r="H46" s="17" t="s">
        <v>460</v>
      </c>
      <c r="I46" s="17" t="s">
        <v>2300</v>
      </c>
      <c r="J46" s="17" t="s">
        <v>37</v>
      </c>
      <c r="K46" s="17" t="s">
        <v>2301</v>
      </c>
      <c r="L46" s="17" t="s">
        <v>2302</v>
      </c>
      <c r="M46" s="17" t="s">
        <v>37</v>
      </c>
      <c r="N46" s="17" t="s">
        <v>2207</v>
      </c>
      <c r="O46" s="17" t="s">
        <v>37</v>
      </c>
      <c r="P46" s="17" t="s">
        <v>460</v>
      </c>
    </row>
    <row r="47" ht="46" customHeight="1" spans="1:16" x14ac:dyDescent="0.25">
      <c r="A47" s="20" t="s">
        <v>2383</v>
      </c>
      <c r="B47" s="20" t="s">
        <v>43</v>
      </c>
      <c r="C47" s="20" t="s">
        <v>518</v>
      </c>
      <c r="D47" s="20" t="s">
        <v>2384</v>
      </c>
      <c r="E47" s="20" t="s">
        <v>2299</v>
      </c>
      <c r="F47" s="20" t="s">
        <v>520</v>
      </c>
      <c r="G47" s="20" t="s">
        <v>522</v>
      </c>
      <c r="H47" s="20" t="s">
        <v>460</v>
      </c>
      <c r="I47" s="20" t="s">
        <v>2300</v>
      </c>
      <c r="J47" s="20" t="s">
        <v>37</v>
      </c>
      <c r="K47" s="20" t="s">
        <v>2301</v>
      </c>
      <c r="L47" s="20" t="s">
        <v>2302</v>
      </c>
      <c r="M47" s="20" t="s">
        <v>37</v>
      </c>
      <c r="N47" s="20" t="s">
        <v>2207</v>
      </c>
      <c r="O47" s="20" t="s">
        <v>37</v>
      </c>
      <c r="P47" s="20" t="s">
        <v>460</v>
      </c>
    </row>
    <row r="48" ht="46" customHeight="1" spans="1:16" x14ac:dyDescent="0.25">
      <c r="A48" s="17" t="s">
        <v>2385</v>
      </c>
      <c r="B48" s="17" t="s">
        <v>43</v>
      </c>
      <c r="C48" s="17" t="s">
        <v>525</v>
      </c>
      <c r="D48" s="17" t="s">
        <v>2386</v>
      </c>
      <c r="E48" s="17" t="s">
        <v>2299</v>
      </c>
      <c r="F48" s="17" t="s">
        <v>527</v>
      </c>
      <c r="G48" s="17" t="s">
        <v>529</v>
      </c>
      <c r="H48" s="17" t="s">
        <v>460</v>
      </c>
      <c r="I48" s="17" t="s">
        <v>2300</v>
      </c>
      <c r="J48" s="17" t="s">
        <v>37</v>
      </c>
      <c r="K48" s="17" t="s">
        <v>2301</v>
      </c>
      <c r="L48" s="17" t="s">
        <v>2302</v>
      </c>
      <c r="M48" s="17" t="s">
        <v>37</v>
      </c>
      <c r="N48" s="17" t="s">
        <v>2207</v>
      </c>
      <c r="O48" s="17" t="s">
        <v>37</v>
      </c>
      <c r="P48" s="17" t="s">
        <v>460</v>
      </c>
    </row>
    <row r="49" ht="46" customHeight="1" spans="1:16" x14ac:dyDescent="0.25">
      <c r="A49" s="20" t="s">
        <v>2387</v>
      </c>
      <c r="B49" s="20" t="s">
        <v>43</v>
      </c>
      <c r="C49" s="20" t="s">
        <v>532</v>
      </c>
      <c r="D49" s="20" t="s">
        <v>2388</v>
      </c>
      <c r="E49" s="20" t="s">
        <v>2299</v>
      </c>
      <c r="F49" s="20" t="s">
        <v>534</v>
      </c>
      <c r="G49" s="20" t="s">
        <v>536</v>
      </c>
      <c r="H49" s="20" t="s">
        <v>460</v>
      </c>
      <c r="I49" s="20" t="s">
        <v>2300</v>
      </c>
      <c r="J49" s="20" t="s">
        <v>37</v>
      </c>
      <c r="K49" s="20" t="s">
        <v>2301</v>
      </c>
      <c r="L49" s="20" t="s">
        <v>2302</v>
      </c>
      <c r="M49" s="20" t="s">
        <v>37</v>
      </c>
      <c r="N49" s="20" t="s">
        <v>2207</v>
      </c>
      <c r="O49" s="20" t="s">
        <v>37</v>
      </c>
      <c r="P49" s="20" t="s">
        <v>460</v>
      </c>
    </row>
    <row r="50" ht="46" customHeight="1" spans="1:16" x14ac:dyDescent="0.25">
      <c r="A50" s="17" t="s">
        <v>2389</v>
      </c>
      <c r="B50" s="17" t="s">
        <v>43</v>
      </c>
      <c r="C50" s="17" t="s">
        <v>539</v>
      </c>
      <c r="D50" s="17" t="s">
        <v>2390</v>
      </c>
      <c r="E50" s="17" t="s">
        <v>2299</v>
      </c>
      <c r="F50" s="17" t="s">
        <v>541</v>
      </c>
      <c r="G50" s="17" t="s">
        <v>543</v>
      </c>
      <c r="H50" s="17" t="s">
        <v>460</v>
      </c>
      <c r="I50" s="17" t="s">
        <v>2300</v>
      </c>
      <c r="J50" s="17" t="s">
        <v>37</v>
      </c>
      <c r="K50" s="17" t="s">
        <v>2301</v>
      </c>
      <c r="L50" s="17" t="s">
        <v>2302</v>
      </c>
      <c r="M50" s="17" t="s">
        <v>37</v>
      </c>
      <c r="N50" s="17" t="s">
        <v>2207</v>
      </c>
      <c r="O50" s="17" t="s">
        <v>37</v>
      </c>
      <c r="P50" s="17" t="s">
        <v>460</v>
      </c>
    </row>
    <row r="51" ht="46" customHeight="1" spans="1:16" x14ac:dyDescent="0.25">
      <c r="A51" s="20" t="s">
        <v>2391</v>
      </c>
      <c r="B51" s="20" t="s">
        <v>44</v>
      </c>
      <c r="C51" s="20" t="s">
        <v>546</v>
      </c>
      <c r="D51" s="20" t="s">
        <v>2392</v>
      </c>
      <c r="E51" s="20" t="s">
        <v>2299</v>
      </c>
      <c r="F51" s="20" t="s">
        <v>548</v>
      </c>
      <c r="G51" s="20" t="s">
        <v>550</v>
      </c>
      <c r="H51" s="20" t="s">
        <v>44</v>
      </c>
      <c r="I51" s="20" t="s">
        <v>2300</v>
      </c>
      <c r="J51" s="20" t="s">
        <v>37</v>
      </c>
      <c r="K51" s="20" t="s">
        <v>2301</v>
      </c>
      <c r="L51" s="20" t="s">
        <v>2302</v>
      </c>
      <c r="M51" s="20" t="s">
        <v>37</v>
      </c>
      <c r="N51" s="20" t="s">
        <v>2207</v>
      </c>
      <c r="O51" s="20" t="s">
        <v>37</v>
      </c>
      <c r="P51" s="20" t="s">
        <v>44</v>
      </c>
    </row>
    <row r="52" ht="46" customHeight="1" spans="1:16" x14ac:dyDescent="0.25">
      <c r="A52" s="17" t="s">
        <v>2393</v>
      </c>
      <c r="B52" s="17" t="s">
        <v>44</v>
      </c>
      <c r="C52" s="17" t="s">
        <v>552</v>
      </c>
      <c r="D52" s="17" t="s">
        <v>2394</v>
      </c>
      <c r="E52" s="17" t="s">
        <v>2299</v>
      </c>
      <c r="F52" s="17" t="s">
        <v>554</v>
      </c>
      <c r="G52" s="17" t="s">
        <v>556</v>
      </c>
      <c r="H52" s="17" t="s">
        <v>44</v>
      </c>
      <c r="I52" s="17" t="s">
        <v>2300</v>
      </c>
      <c r="J52" s="17" t="s">
        <v>37</v>
      </c>
      <c r="K52" s="17" t="s">
        <v>2301</v>
      </c>
      <c r="L52" s="17" t="s">
        <v>2302</v>
      </c>
      <c r="M52" s="17" t="s">
        <v>37</v>
      </c>
      <c r="N52" s="17" t="s">
        <v>2207</v>
      </c>
      <c r="O52" s="17" t="s">
        <v>37</v>
      </c>
      <c r="P52" s="17" t="s">
        <v>44</v>
      </c>
    </row>
    <row r="53" ht="46" customHeight="1" spans="1:16" x14ac:dyDescent="0.25">
      <c r="A53" s="20" t="s">
        <v>2395</v>
      </c>
      <c r="B53" s="20" t="s">
        <v>44</v>
      </c>
      <c r="C53" s="20" t="s">
        <v>559</v>
      </c>
      <c r="D53" s="20" t="s">
        <v>2396</v>
      </c>
      <c r="E53" s="20" t="s">
        <v>2299</v>
      </c>
      <c r="F53" s="20" t="s">
        <v>561</v>
      </c>
      <c r="G53" s="20" t="s">
        <v>563</v>
      </c>
      <c r="H53" s="20" t="s">
        <v>44</v>
      </c>
      <c r="I53" s="20" t="s">
        <v>2300</v>
      </c>
      <c r="J53" s="20" t="s">
        <v>37</v>
      </c>
      <c r="K53" s="20" t="s">
        <v>2301</v>
      </c>
      <c r="L53" s="20" t="s">
        <v>2302</v>
      </c>
      <c r="M53" s="20" t="s">
        <v>37</v>
      </c>
      <c r="N53" s="20" t="s">
        <v>2207</v>
      </c>
      <c r="O53" s="20" t="s">
        <v>37</v>
      </c>
      <c r="P53" s="20" t="s">
        <v>44</v>
      </c>
    </row>
    <row r="54" ht="46" customHeight="1" spans="1:16" x14ac:dyDescent="0.25">
      <c r="A54" s="17" t="s">
        <v>2397</v>
      </c>
      <c r="B54" s="17" t="s">
        <v>44</v>
      </c>
      <c r="C54" s="17" t="s">
        <v>566</v>
      </c>
      <c r="D54" s="17" t="s">
        <v>2398</v>
      </c>
      <c r="E54" s="17" t="s">
        <v>2299</v>
      </c>
      <c r="F54" s="17" t="s">
        <v>568</v>
      </c>
      <c r="G54" s="17" t="s">
        <v>570</v>
      </c>
      <c r="H54" s="17" t="s">
        <v>44</v>
      </c>
      <c r="I54" s="17" t="s">
        <v>2300</v>
      </c>
      <c r="J54" s="17" t="s">
        <v>37</v>
      </c>
      <c r="K54" s="17" t="s">
        <v>2301</v>
      </c>
      <c r="L54" s="17" t="s">
        <v>2302</v>
      </c>
      <c r="M54" s="17" t="s">
        <v>37</v>
      </c>
      <c r="N54" s="17" t="s">
        <v>2207</v>
      </c>
      <c r="O54" s="17" t="s">
        <v>37</v>
      </c>
      <c r="P54" s="17" t="s">
        <v>44</v>
      </c>
    </row>
    <row r="55" ht="46" customHeight="1" spans="1:16" x14ac:dyDescent="0.25">
      <c r="A55" s="20" t="s">
        <v>2399</v>
      </c>
      <c r="B55" s="20" t="s">
        <v>44</v>
      </c>
      <c r="C55" s="20" t="s">
        <v>573</v>
      </c>
      <c r="D55" s="20" t="s">
        <v>2400</v>
      </c>
      <c r="E55" s="20" t="s">
        <v>2299</v>
      </c>
      <c r="F55" s="20" t="s">
        <v>575</v>
      </c>
      <c r="G55" s="20" t="s">
        <v>577</v>
      </c>
      <c r="H55" s="20" t="s">
        <v>44</v>
      </c>
      <c r="I55" s="20" t="s">
        <v>2300</v>
      </c>
      <c r="J55" s="20" t="s">
        <v>37</v>
      </c>
      <c r="K55" s="20" t="s">
        <v>2301</v>
      </c>
      <c r="L55" s="20" t="s">
        <v>2302</v>
      </c>
      <c r="M55" s="20" t="s">
        <v>37</v>
      </c>
      <c r="N55" s="20" t="s">
        <v>2207</v>
      </c>
      <c r="O55" s="20" t="s">
        <v>37</v>
      </c>
      <c r="P55" s="20" t="s">
        <v>44</v>
      </c>
    </row>
    <row r="56" ht="46" customHeight="1" spans="1:16" x14ac:dyDescent="0.25">
      <c r="A56" s="17" t="s">
        <v>2401</v>
      </c>
      <c r="B56" s="17" t="s">
        <v>44</v>
      </c>
      <c r="C56" s="17" t="s">
        <v>580</v>
      </c>
      <c r="D56" s="17" t="s">
        <v>2402</v>
      </c>
      <c r="E56" s="17" t="s">
        <v>2299</v>
      </c>
      <c r="F56" s="17" t="s">
        <v>582</v>
      </c>
      <c r="G56" s="17" t="s">
        <v>584</v>
      </c>
      <c r="H56" s="17" t="s">
        <v>44</v>
      </c>
      <c r="I56" s="17" t="s">
        <v>2300</v>
      </c>
      <c r="J56" s="17" t="s">
        <v>37</v>
      </c>
      <c r="K56" s="17" t="s">
        <v>2301</v>
      </c>
      <c r="L56" s="17" t="s">
        <v>2302</v>
      </c>
      <c r="M56" s="17" t="s">
        <v>37</v>
      </c>
      <c r="N56" s="17" t="s">
        <v>2207</v>
      </c>
      <c r="O56" s="17" t="s">
        <v>37</v>
      </c>
      <c r="P56" s="17" t="s">
        <v>44</v>
      </c>
    </row>
    <row r="57" ht="46" customHeight="1" spans="1:16" x14ac:dyDescent="0.25">
      <c r="A57" s="20" t="s">
        <v>2403</v>
      </c>
      <c r="B57" s="20" t="s">
        <v>44</v>
      </c>
      <c r="C57" s="20" t="s">
        <v>587</v>
      </c>
      <c r="D57" s="20" t="s">
        <v>2404</v>
      </c>
      <c r="E57" s="20" t="s">
        <v>2299</v>
      </c>
      <c r="F57" s="20" t="s">
        <v>589</v>
      </c>
      <c r="G57" s="20" t="s">
        <v>591</v>
      </c>
      <c r="H57" s="20" t="s">
        <v>44</v>
      </c>
      <c r="I57" s="20" t="s">
        <v>2300</v>
      </c>
      <c r="J57" s="20" t="s">
        <v>37</v>
      </c>
      <c r="K57" s="20" t="s">
        <v>2301</v>
      </c>
      <c r="L57" s="20" t="s">
        <v>2302</v>
      </c>
      <c r="M57" s="20" t="s">
        <v>37</v>
      </c>
      <c r="N57" s="20" t="s">
        <v>2207</v>
      </c>
      <c r="O57" s="20" t="s">
        <v>37</v>
      </c>
      <c r="P57" s="20" t="s">
        <v>44</v>
      </c>
    </row>
    <row r="58" ht="46" customHeight="1" spans="1:16" x14ac:dyDescent="0.25">
      <c r="A58" s="17" t="s">
        <v>2405</v>
      </c>
      <c r="B58" s="17" t="s">
        <v>44</v>
      </c>
      <c r="C58" s="17" t="s">
        <v>594</v>
      </c>
      <c r="D58" s="17" t="s">
        <v>2406</v>
      </c>
      <c r="E58" s="17" t="s">
        <v>2299</v>
      </c>
      <c r="F58" s="17" t="s">
        <v>596</v>
      </c>
      <c r="G58" s="17" t="s">
        <v>598</v>
      </c>
      <c r="H58" s="17" t="s">
        <v>44</v>
      </c>
      <c r="I58" s="17" t="s">
        <v>2300</v>
      </c>
      <c r="J58" s="17" t="s">
        <v>37</v>
      </c>
      <c r="K58" s="17" t="s">
        <v>2301</v>
      </c>
      <c r="L58" s="17" t="s">
        <v>2302</v>
      </c>
      <c r="M58" s="17" t="s">
        <v>37</v>
      </c>
      <c r="N58" s="17" t="s">
        <v>2207</v>
      </c>
      <c r="O58" s="17" t="s">
        <v>37</v>
      </c>
      <c r="P58" s="17" t="s">
        <v>44</v>
      </c>
    </row>
    <row r="59" ht="46" customHeight="1" spans="1:16" x14ac:dyDescent="0.25">
      <c r="A59" s="20" t="s">
        <v>2407</v>
      </c>
      <c r="B59" s="20" t="s">
        <v>44</v>
      </c>
      <c r="C59" s="20" t="s">
        <v>601</v>
      </c>
      <c r="D59" s="20" t="s">
        <v>2408</v>
      </c>
      <c r="E59" s="20" t="s">
        <v>2299</v>
      </c>
      <c r="F59" s="20" t="s">
        <v>603</v>
      </c>
      <c r="G59" s="20" t="s">
        <v>605</v>
      </c>
      <c r="H59" s="20" t="s">
        <v>44</v>
      </c>
      <c r="I59" s="20" t="s">
        <v>2300</v>
      </c>
      <c r="J59" s="20" t="s">
        <v>37</v>
      </c>
      <c r="K59" s="20" t="s">
        <v>2301</v>
      </c>
      <c r="L59" s="20" t="s">
        <v>2302</v>
      </c>
      <c r="M59" s="20" t="s">
        <v>37</v>
      </c>
      <c r="N59" s="20" t="s">
        <v>2207</v>
      </c>
      <c r="O59" s="20" t="s">
        <v>37</v>
      </c>
      <c r="P59" s="20" t="s">
        <v>44</v>
      </c>
    </row>
    <row r="60" ht="46" customHeight="1" spans="1:16" x14ac:dyDescent="0.25">
      <c r="A60" s="17" t="s">
        <v>2409</v>
      </c>
      <c r="B60" s="17" t="s">
        <v>44</v>
      </c>
      <c r="C60" s="17" t="s">
        <v>608</v>
      </c>
      <c r="D60" s="17" t="s">
        <v>2410</v>
      </c>
      <c r="E60" s="17" t="s">
        <v>2299</v>
      </c>
      <c r="F60" s="17" t="s">
        <v>610</v>
      </c>
      <c r="G60" s="17" t="s">
        <v>612</v>
      </c>
      <c r="H60" s="17" t="s">
        <v>44</v>
      </c>
      <c r="I60" s="17" t="s">
        <v>2300</v>
      </c>
      <c r="J60" s="17" t="s">
        <v>37</v>
      </c>
      <c r="K60" s="17" t="s">
        <v>2301</v>
      </c>
      <c r="L60" s="17" t="s">
        <v>2302</v>
      </c>
      <c r="M60" s="17" t="s">
        <v>37</v>
      </c>
      <c r="N60" s="17" t="s">
        <v>2207</v>
      </c>
      <c r="O60" s="17" t="s">
        <v>37</v>
      </c>
      <c r="P60" s="17" t="s">
        <v>44</v>
      </c>
    </row>
    <row r="61" ht="46" customHeight="1" spans="1:16" x14ac:dyDescent="0.25">
      <c r="A61" s="20" t="s">
        <v>2411</v>
      </c>
      <c r="B61" s="20" t="s">
        <v>44</v>
      </c>
      <c r="C61" s="20" t="s">
        <v>615</v>
      </c>
      <c r="D61" s="20" t="s">
        <v>2412</v>
      </c>
      <c r="E61" s="20" t="s">
        <v>2299</v>
      </c>
      <c r="F61" s="20" t="s">
        <v>617</v>
      </c>
      <c r="G61" s="20" t="s">
        <v>619</v>
      </c>
      <c r="H61" s="20" t="s">
        <v>44</v>
      </c>
      <c r="I61" s="20" t="s">
        <v>2300</v>
      </c>
      <c r="J61" s="20" t="s">
        <v>37</v>
      </c>
      <c r="K61" s="20" t="s">
        <v>2301</v>
      </c>
      <c r="L61" s="20" t="s">
        <v>2302</v>
      </c>
      <c r="M61" s="20" t="s">
        <v>37</v>
      </c>
      <c r="N61" s="20" t="s">
        <v>2207</v>
      </c>
      <c r="O61" s="20" t="s">
        <v>37</v>
      </c>
      <c r="P61" s="20" t="s">
        <v>44</v>
      </c>
    </row>
    <row r="62" ht="46" customHeight="1" spans="1:16" x14ac:dyDescent="0.25">
      <c r="A62" s="17" t="s">
        <v>2413</v>
      </c>
      <c r="B62" s="17" t="s">
        <v>44</v>
      </c>
      <c r="C62" s="17" t="s">
        <v>622</v>
      </c>
      <c r="D62" s="17" t="s">
        <v>2414</v>
      </c>
      <c r="E62" s="17" t="s">
        <v>2299</v>
      </c>
      <c r="F62" s="17" t="s">
        <v>624</v>
      </c>
      <c r="G62" s="17" t="s">
        <v>626</v>
      </c>
      <c r="H62" s="17" t="s">
        <v>44</v>
      </c>
      <c r="I62" s="17" t="s">
        <v>2300</v>
      </c>
      <c r="J62" s="17" t="s">
        <v>37</v>
      </c>
      <c r="K62" s="17" t="s">
        <v>2301</v>
      </c>
      <c r="L62" s="17" t="s">
        <v>2302</v>
      </c>
      <c r="M62" s="17" t="s">
        <v>37</v>
      </c>
      <c r="N62" s="17" t="s">
        <v>2207</v>
      </c>
      <c r="O62" s="17" t="s">
        <v>37</v>
      </c>
      <c r="P62" s="17" t="s">
        <v>44</v>
      </c>
    </row>
    <row r="63" ht="46" customHeight="1" spans="1:16" x14ac:dyDescent="0.25">
      <c r="A63" s="20" t="s">
        <v>2415</v>
      </c>
      <c r="B63" s="20" t="s">
        <v>44</v>
      </c>
      <c r="C63" s="20" t="s">
        <v>629</v>
      </c>
      <c r="D63" s="20" t="s">
        <v>2416</v>
      </c>
      <c r="E63" s="20" t="s">
        <v>2299</v>
      </c>
      <c r="F63" s="20" t="s">
        <v>631</v>
      </c>
      <c r="G63" s="20" t="s">
        <v>633</v>
      </c>
      <c r="H63" s="20" t="s">
        <v>44</v>
      </c>
      <c r="I63" s="20" t="s">
        <v>2300</v>
      </c>
      <c r="J63" s="20" t="s">
        <v>37</v>
      </c>
      <c r="K63" s="20" t="s">
        <v>2301</v>
      </c>
      <c r="L63" s="20" t="s">
        <v>2302</v>
      </c>
      <c r="M63" s="20" t="s">
        <v>37</v>
      </c>
      <c r="N63" s="20" t="s">
        <v>2207</v>
      </c>
      <c r="O63" s="20" t="s">
        <v>37</v>
      </c>
      <c r="P63" s="20" t="s">
        <v>44</v>
      </c>
    </row>
    <row r="64" ht="46" customHeight="1" spans="1:16" x14ac:dyDescent="0.25">
      <c r="A64" s="17" t="s">
        <v>2417</v>
      </c>
      <c r="B64" s="17" t="s">
        <v>44</v>
      </c>
      <c r="C64" s="17" t="s">
        <v>636</v>
      </c>
      <c r="D64" s="17" t="s">
        <v>2418</v>
      </c>
      <c r="E64" s="17" t="s">
        <v>2299</v>
      </c>
      <c r="F64" s="17" t="s">
        <v>638</v>
      </c>
      <c r="G64" s="17" t="s">
        <v>640</v>
      </c>
      <c r="H64" s="17" t="s">
        <v>44</v>
      </c>
      <c r="I64" s="17" t="s">
        <v>2300</v>
      </c>
      <c r="J64" s="17" t="s">
        <v>37</v>
      </c>
      <c r="K64" s="17" t="s">
        <v>2301</v>
      </c>
      <c r="L64" s="17" t="s">
        <v>2302</v>
      </c>
      <c r="M64" s="17" t="s">
        <v>37</v>
      </c>
      <c r="N64" s="17" t="s">
        <v>2207</v>
      </c>
      <c r="O64" s="17" t="s">
        <v>37</v>
      </c>
      <c r="P64" s="17" t="s">
        <v>44</v>
      </c>
    </row>
    <row r="65" ht="46" customHeight="1" spans="1:16" x14ac:dyDescent="0.25">
      <c r="A65" s="20" t="s">
        <v>2419</v>
      </c>
      <c r="B65" s="20" t="s">
        <v>44</v>
      </c>
      <c r="C65" s="20" t="s">
        <v>643</v>
      </c>
      <c r="D65" s="20" t="s">
        <v>2420</v>
      </c>
      <c r="E65" s="20" t="s">
        <v>2299</v>
      </c>
      <c r="F65" s="20" t="s">
        <v>645</v>
      </c>
      <c r="G65" s="20" t="s">
        <v>647</v>
      </c>
      <c r="H65" s="20" t="s">
        <v>44</v>
      </c>
      <c r="I65" s="20" t="s">
        <v>2300</v>
      </c>
      <c r="J65" s="20" t="s">
        <v>37</v>
      </c>
      <c r="K65" s="20" t="s">
        <v>2301</v>
      </c>
      <c r="L65" s="20" t="s">
        <v>2302</v>
      </c>
      <c r="M65" s="20" t="s">
        <v>37</v>
      </c>
      <c r="N65" s="20" t="s">
        <v>2207</v>
      </c>
      <c r="O65" s="20" t="s">
        <v>37</v>
      </c>
      <c r="P65" s="20" t="s">
        <v>44</v>
      </c>
    </row>
    <row r="66" ht="46" customHeight="1" spans="1:16" x14ac:dyDescent="0.25">
      <c r="A66" s="17" t="s">
        <v>2421</v>
      </c>
      <c r="B66" s="17" t="s">
        <v>44</v>
      </c>
      <c r="C66" s="17" t="s">
        <v>650</v>
      </c>
      <c r="D66" s="17" t="s">
        <v>2422</v>
      </c>
      <c r="E66" s="17" t="s">
        <v>2299</v>
      </c>
      <c r="F66" s="17" t="s">
        <v>652</v>
      </c>
      <c r="G66" s="17" t="s">
        <v>654</v>
      </c>
      <c r="H66" s="17" t="s">
        <v>44</v>
      </c>
      <c r="I66" s="17" t="s">
        <v>2300</v>
      </c>
      <c r="J66" s="17" t="s">
        <v>37</v>
      </c>
      <c r="K66" s="17" t="s">
        <v>2301</v>
      </c>
      <c r="L66" s="17" t="s">
        <v>2302</v>
      </c>
      <c r="M66" s="17" t="s">
        <v>37</v>
      </c>
      <c r="N66" s="17" t="s">
        <v>2207</v>
      </c>
      <c r="O66" s="17" t="s">
        <v>37</v>
      </c>
      <c r="P66" s="17" t="s">
        <v>44</v>
      </c>
    </row>
    <row r="67" ht="46" customHeight="1" spans="1:16" x14ac:dyDescent="0.25">
      <c r="A67" s="20" t="s">
        <v>2423</v>
      </c>
      <c r="B67" s="20" t="s">
        <v>45</v>
      </c>
      <c r="C67" s="20" t="s">
        <v>256</v>
      </c>
      <c r="D67" s="20" t="s">
        <v>2310</v>
      </c>
      <c r="E67" s="20" t="s">
        <v>2299</v>
      </c>
      <c r="F67" s="20" t="s">
        <v>657</v>
      </c>
      <c r="G67" s="20" t="s">
        <v>658</v>
      </c>
      <c r="H67" s="20" t="s">
        <v>44</v>
      </c>
      <c r="I67" s="20" t="s">
        <v>2300</v>
      </c>
      <c r="J67" s="20" t="s">
        <v>37</v>
      </c>
      <c r="K67" s="20" t="s">
        <v>2301</v>
      </c>
      <c r="L67" s="20" t="s">
        <v>2302</v>
      </c>
      <c r="M67" s="20" t="s">
        <v>37</v>
      </c>
      <c r="N67" s="20" t="s">
        <v>2207</v>
      </c>
      <c r="O67" s="20" t="s">
        <v>37</v>
      </c>
      <c r="P67" s="20" t="s">
        <v>44</v>
      </c>
    </row>
    <row r="68" ht="46" customHeight="1" spans="1:16" x14ac:dyDescent="0.25">
      <c r="A68" s="17" t="s">
        <v>2424</v>
      </c>
      <c r="B68" s="17" t="s">
        <v>45</v>
      </c>
      <c r="C68" s="17" t="s">
        <v>660</v>
      </c>
      <c r="D68" s="17" t="s">
        <v>2425</v>
      </c>
      <c r="E68" s="17" t="s">
        <v>2299</v>
      </c>
      <c r="F68" s="17" t="s">
        <v>662</v>
      </c>
      <c r="G68" s="17" t="s">
        <v>664</v>
      </c>
      <c r="H68" s="17" t="s">
        <v>44</v>
      </c>
      <c r="I68" s="17" t="s">
        <v>2300</v>
      </c>
      <c r="J68" s="17" t="s">
        <v>37</v>
      </c>
      <c r="K68" s="17" t="s">
        <v>2301</v>
      </c>
      <c r="L68" s="17" t="s">
        <v>2302</v>
      </c>
      <c r="M68" s="17" t="s">
        <v>37</v>
      </c>
      <c r="N68" s="17" t="s">
        <v>2207</v>
      </c>
      <c r="O68" s="17" t="s">
        <v>37</v>
      </c>
      <c r="P68" s="17" t="s">
        <v>44</v>
      </c>
    </row>
    <row r="69" ht="46" customHeight="1" spans="1:16" x14ac:dyDescent="0.25">
      <c r="A69" s="20" t="s">
        <v>2426</v>
      </c>
      <c r="B69" s="20" t="s">
        <v>45</v>
      </c>
      <c r="C69" s="20" t="s">
        <v>667</v>
      </c>
      <c r="D69" s="20" t="s">
        <v>2427</v>
      </c>
      <c r="E69" s="20" t="s">
        <v>2299</v>
      </c>
      <c r="F69" s="20" t="s">
        <v>669</v>
      </c>
      <c r="G69" s="20" t="s">
        <v>671</v>
      </c>
      <c r="H69" s="20" t="s">
        <v>44</v>
      </c>
      <c r="I69" s="20" t="s">
        <v>2300</v>
      </c>
      <c r="J69" s="20" t="s">
        <v>37</v>
      </c>
      <c r="K69" s="20" t="s">
        <v>2301</v>
      </c>
      <c r="L69" s="20" t="s">
        <v>2302</v>
      </c>
      <c r="M69" s="20" t="s">
        <v>37</v>
      </c>
      <c r="N69" s="20" t="s">
        <v>2207</v>
      </c>
      <c r="O69" s="20" t="s">
        <v>37</v>
      </c>
      <c r="P69" s="20" t="s">
        <v>44</v>
      </c>
    </row>
    <row r="70" ht="46" customHeight="1" spans="1:16" x14ac:dyDescent="0.25">
      <c r="A70" s="17" t="s">
        <v>2428</v>
      </c>
      <c r="B70" s="17" t="s">
        <v>45</v>
      </c>
      <c r="C70" s="17" t="s">
        <v>674</v>
      </c>
      <c r="D70" s="17" t="s">
        <v>2429</v>
      </c>
      <c r="E70" s="17" t="s">
        <v>2299</v>
      </c>
      <c r="F70" s="17" t="s">
        <v>676</v>
      </c>
      <c r="G70" s="17" t="s">
        <v>678</v>
      </c>
      <c r="H70" s="17" t="s">
        <v>44</v>
      </c>
      <c r="I70" s="17" t="s">
        <v>2300</v>
      </c>
      <c r="J70" s="17" t="s">
        <v>37</v>
      </c>
      <c r="K70" s="17" t="s">
        <v>2301</v>
      </c>
      <c r="L70" s="17" t="s">
        <v>2302</v>
      </c>
      <c r="M70" s="17" t="s">
        <v>37</v>
      </c>
      <c r="N70" s="17" t="s">
        <v>2207</v>
      </c>
      <c r="O70" s="17" t="s">
        <v>37</v>
      </c>
      <c r="P70" s="17" t="s">
        <v>44</v>
      </c>
    </row>
    <row r="71" ht="46" customHeight="1" spans="1:16" x14ac:dyDescent="0.25">
      <c r="A71" s="20" t="s">
        <v>2430</v>
      </c>
      <c r="B71" s="20" t="s">
        <v>45</v>
      </c>
      <c r="C71" s="20" t="s">
        <v>681</v>
      </c>
      <c r="D71" s="20" t="s">
        <v>2431</v>
      </c>
      <c r="E71" s="20" t="s">
        <v>2299</v>
      </c>
      <c r="F71" s="20" t="s">
        <v>683</v>
      </c>
      <c r="G71" s="20" t="s">
        <v>685</v>
      </c>
      <c r="H71" s="20" t="s">
        <v>44</v>
      </c>
      <c r="I71" s="20" t="s">
        <v>2300</v>
      </c>
      <c r="J71" s="20" t="s">
        <v>37</v>
      </c>
      <c r="K71" s="20" t="s">
        <v>2301</v>
      </c>
      <c r="L71" s="20" t="s">
        <v>2302</v>
      </c>
      <c r="M71" s="20" t="s">
        <v>37</v>
      </c>
      <c r="N71" s="20" t="s">
        <v>2207</v>
      </c>
      <c r="O71" s="20" t="s">
        <v>37</v>
      </c>
      <c r="P71" s="20" t="s">
        <v>44</v>
      </c>
    </row>
    <row r="72" ht="46" customHeight="1" spans="1:16" x14ac:dyDescent="0.25">
      <c r="A72" s="17" t="s">
        <v>2432</v>
      </c>
      <c r="B72" s="17" t="s">
        <v>45</v>
      </c>
      <c r="C72" s="17" t="s">
        <v>688</v>
      </c>
      <c r="D72" s="17" t="s">
        <v>2433</v>
      </c>
      <c r="E72" s="17" t="s">
        <v>2299</v>
      </c>
      <c r="F72" s="17" t="s">
        <v>690</v>
      </c>
      <c r="G72" s="17" t="s">
        <v>692</v>
      </c>
      <c r="H72" s="17" t="s">
        <v>44</v>
      </c>
      <c r="I72" s="17" t="s">
        <v>2300</v>
      </c>
      <c r="J72" s="17" t="s">
        <v>37</v>
      </c>
      <c r="K72" s="17" t="s">
        <v>2301</v>
      </c>
      <c r="L72" s="17" t="s">
        <v>2302</v>
      </c>
      <c r="M72" s="17" t="s">
        <v>37</v>
      </c>
      <c r="N72" s="17" t="s">
        <v>2207</v>
      </c>
      <c r="O72" s="17" t="s">
        <v>37</v>
      </c>
      <c r="P72" s="17" t="s">
        <v>44</v>
      </c>
    </row>
    <row r="73" ht="46" customHeight="1" spans="1:16" x14ac:dyDescent="0.25">
      <c r="A73" s="20" t="s">
        <v>2434</v>
      </c>
      <c r="B73" s="20" t="s">
        <v>45</v>
      </c>
      <c r="C73" s="20" t="s">
        <v>695</v>
      </c>
      <c r="D73" s="20" t="s">
        <v>2435</v>
      </c>
      <c r="E73" s="20" t="s">
        <v>2299</v>
      </c>
      <c r="F73" s="20" t="s">
        <v>697</v>
      </c>
      <c r="G73" s="20" t="s">
        <v>699</v>
      </c>
      <c r="H73" s="20" t="s">
        <v>44</v>
      </c>
      <c r="I73" s="20" t="s">
        <v>2300</v>
      </c>
      <c r="J73" s="20" t="s">
        <v>37</v>
      </c>
      <c r="K73" s="20" t="s">
        <v>2301</v>
      </c>
      <c r="L73" s="20" t="s">
        <v>2302</v>
      </c>
      <c r="M73" s="20" t="s">
        <v>37</v>
      </c>
      <c r="N73" s="20" t="s">
        <v>2207</v>
      </c>
      <c r="O73" s="20" t="s">
        <v>37</v>
      </c>
      <c r="P73" s="20" t="s">
        <v>44</v>
      </c>
    </row>
    <row r="74" ht="46" customHeight="1" spans="1:16" x14ac:dyDescent="0.25">
      <c r="A74" s="17" t="s">
        <v>2436</v>
      </c>
      <c r="B74" s="17" t="s">
        <v>45</v>
      </c>
      <c r="C74" s="17" t="s">
        <v>702</v>
      </c>
      <c r="D74" s="17" t="s">
        <v>2437</v>
      </c>
      <c r="E74" s="17" t="s">
        <v>2299</v>
      </c>
      <c r="F74" s="17" t="s">
        <v>704</v>
      </c>
      <c r="G74" s="17" t="s">
        <v>706</v>
      </c>
      <c r="H74" s="17" t="s">
        <v>44</v>
      </c>
      <c r="I74" s="17" t="s">
        <v>2300</v>
      </c>
      <c r="J74" s="17" t="s">
        <v>37</v>
      </c>
      <c r="K74" s="17" t="s">
        <v>2301</v>
      </c>
      <c r="L74" s="17" t="s">
        <v>2302</v>
      </c>
      <c r="M74" s="17" t="s">
        <v>37</v>
      </c>
      <c r="N74" s="17" t="s">
        <v>2207</v>
      </c>
      <c r="O74" s="17" t="s">
        <v>37</v>
      </c>
      <c r="P74" s="17" t="s">
        <v>44</v>
      </c>
    </row>
    <row r="75" ht="46" customHeight="1" spans="1:16" x14ac:dyDescent="0.25">
      <c r="A75" s="20" t="s">
        <v>2438</v>
      </c>
      <c r="B75" s="20" t="s">
        <v>46</v>
      </c>
      <c r="C75" s="20" t="s">
        <v>709</v>
      </c>
      <c r="D75" s="20" t="s">
        <v>2439</v>
      </c>
      <c r="E75" s="20" t="s">
        <v>2299</v>
      </c>
      <c r="F75" s="20" t="s">
        <v>711</v>
      </c>
      <c r="G75" s="20" t="s">
        <v>713</v>
      </c>
      <c r="H75" s="20" t="s">
        <v>233</v>
      </c>
      <c r="I75" s="20" t="s">
        <v>2300</v>
      </c>
      <c r="J75" s="20" t="s">
        <v>37</v>
      </c>
      <c r="K75" s="20" t="s">
        <v>2301</v>
      </c>
      <c r="L75" s="20" t="s">
        <v>2302</v>
      </c>
      <c r="M75" s="20" t="s">
        <v>37</v>
      </c>
      <c r="N75" s="20" t="s">
        <v>2207</v>
      </c>
      <c r="O75" s="20" t="s">
        <v>37</v>
      </c>
      <c r="P75" s="20" t="s">
        <v>233</v>
      </c>
    </row>
    <row r="76" ht="46" customHeight="1" spans="1:16" x14ac:dyDescent="0.25">
      <c r="A76" s="17" t="s">
        <v>2440</v>
      </c>
      <c r="B76" s="17" t="s">
        <v>46</v>
      </c>
      <c r="C76" s="17" t="s">
        <v>716</v>
      </c>
      <c r="D76" s="17" t="s">
        <v>2441</v>
      </c>
      <c r="E76" s="17" t="s">
        <v>2299</v>
      </c>
      <c r="F76" s="17" t="s">
        <v>718</v>
      </c>
      <c r="G76" s="17" t="s">
        <v>720</v>
      </c>
      <c r="H76" s="17" t="s">
        <v>233</v>
      </c>
      <c r="I76" s="17" t="s">
        <v>2300</v>
      </c>
      <c r="J76" s="17" t="s">
        <v>37</v>
      </c>
      <c r="K76" s="17" t="s">
        <v>2301</v>
      </c>
      <c r="L76" s="17" t="s">
        <v>2302</v>
      </c>
      <c r="M76" s="17" t="s">
        <v>37</v>
      </c>
      <c r="N76" s="17" t="s">
        <v>2207</v>
      </c>
      <c r="O76" s="17" t="s">
        <v>37</v>
      </c>
      <c r="P76" s="17" t="s">
        <v>233</v>
      </c>
    </row>
    <row r="77" ht="46" customHeight="1" spans="1:16" x14ac:dyDescent="0.25">
      <c r="A77" s="20" t="s">
        <v>2442</v>
      </c>
      <c r="B77" s="20" t="s">
        <v>46</v>
      </c>
      <c r="C77" s="20" t="s">
        <v>723</v>
      </c>
      <c r="D77" s="20" t="s">
        <v>2443</v>
      </c>
      <c r="E77" s="20" t="s">
        <v>2299</v>
      </c>
      <c r="F77" s="20" t="s">
        <v>725</v>
      </c>
      <c r="G77" s="20" t="s">
        <v>727</v>
      </c>
      <c r="H77" s="20" t="s">
        <v>233</v>
      </c>
      <c r="I77" s="20" t="s">
        <v>2300</v>
      </c>
      <c r="J77" s="20" t="s">
        <v>37</v>
      </c>
      <c r="K77" s="20" t="s">
        <v>2301</v>
      </c>
      <c r="L77" s="20" t="s">
        <v>2302</v>
      </c>
      <c r="M77" s="20" t="s">
        <v>37</v>
      </c>
      <c r="N77" s="20" t="s">
        <v>2207</v>
      </c>
      <c r="O77" s="20" t="s">
        <v>37</v>
      </c>
      <c r="P77" s="20" t="s">
        <v>233</v>
      </c>
    </row>
    <row r="78" ht="46" customHeight="1" spans="1:16" x14ac:dyDescent="0.25">
      <c r="A78" s="17" t="s">
        <v>2444</v>
      </c>
      <c r="B78" s="17" t="s">
        <v>46</v>
      </c>
      <c r="C78" s="17" t="s">
        <v>730</v>
      </c>
      <c r="D78" s="17" t="s">
        <v>2445</v>
      </c>
      <c r="E78" s="17" t="s">
        <v>2299</v>
      </c>
      <c r="F78" s="17" t="s">
        <v>732</v>
      </c>
      <c r="G78" s="17" t="s">
        <v>734</v>
      </c>
      <c r="H78" s="17" t="s">
        <v>233</v>
      </c>
      <c r="I78" s="17" t="s">
        <v>2300</v>
      </c>
      <c r="J78" s="17" t="s">
        <v>37</v>
      </c>
      <c r="K78" s="17" t="s">
        <v>2301</v>
      </c>
      <c r="L78" s="17" t="s">
        <v>2302</v>
      </c>
      <c r="M78" s="17" t="s">
        <v>37</v>
      </c>
      <c r="N78" s="17" t="s">
        <v>2207</v>
      </c>
      <c r="O78" s="17" t="s">
        <v>37</v>
      </c>
      <c r="P78" s="17" t="s">
        <v>233</v>
      </c>
    </row>
    <row r="79" ht="46" customHeight="1" spans="1:16" x14ac:dyDescent="0.25">
      <c r="A79" s="20" t="s">
        <v>2446</v>
      </c>
      <c r="B79" s="20" t="s">
        <v>46</v>
      </c>
      <c r="C79" s="20" t="s">
        <v>737</v>
      </c>
      <c r="D79" s="20" t="s">
        <v>2447</v>
      </c>
      <c r="E79" s="20" t="s">
        <v>2299</v>
      </c>
      <c r="F79" s="20" t="s">
        <v>739</v>
      </c>
      <c r="G79" s="20" t="s">
        <v>741</v>
      </c>
      <c r="H79" s="20" t="s">
        <v>233</v>
      </c>
      <c r="I79" s="20" t="s">
        <v>2300</v>
      </c>
      <c r="J79" s="20" t="s">
        <v>37</v>
      </c>
      <c r="K79" s="20" t="s">
        <v>2301</v>
      </c>
      <c r="L79" s="20" t="s">
        <v>2302</v>
      </c>
      <c r="M79" s="20" t="s">
        <v>37</v>
      </c>
      <c r="N79" s="20" t="s">
        <v>2207</v>
      </c>
      <c r="O79" s="20" t="s">
        <v>37</v>
      </c>
      <c r="P79" s="20" t="s">
        <v>233</v>
      </c>
    </row>
    <row r="80" ht="46" customHeight="1" spans="1:16" x14ac:dyDescent="0.25">
      <c r="A80" s="17" t="s">
        <v>2448</v>
      </c>
      <c r="B80" s="17" t="s">
        <v>46</v>
      </c>
      <c r="C80" s="17" t="s">
        <v>744</v>
      </c>
      <c r="D80" s="17" t="s">
        <v>2449</v>
      </c>
      <c r="E80" s="17" t="s">
        <v>2299</v>
      </c>
      <c r="F80" s="17" t="s">
        <v>746</v>
      </c>
      <c r="G80" s="17" t="s">
        <v>748</v>
      </c>
      <c r="H80" s="17" t="s">
        <v>233</v>
      </c>
      <c r="I80" s="17" t="s">
        <v>2300</v>
      </c>
      <c r="J80" s="17" t="s">
        <v>37</v>
      </c>
      <c r="K80" s="17" t="s">
        <v>2301</v>
      </c>
      <c r="L80" s="17" t="s">
        <v>2302</v>
      </c>
      <c r="M80" s="17" t="s">
        <v>37</v>
      </c>
      <c r="N80" s="17" t="s">
        <v>2207</v>
      </c>
      <c r="O80" s="17" t="s">
        <v>37</v>
      </c>
      <c r="P80" s="17" t="s">
        <v>233</v>
      </c>
    </row>
    <row r="81" ht="46" customHeight="1" spans="1:16" x14ac:dyDescent="0.25">
      <c r="A81" s="20" t="s">
        <v>2450</v>
      </c>
      <c r="B81" s="20" t="s">
        <v>46</v>
      </c>
      <c r="C81" s="20" t="s">
        <v>751</v>
      </c>
      <c r="D81" s="20" t="s">
        <v>2451</v>
      </c>
      <c r="E81" s="20" t="s">
        <v>2299</v>
      </c>
      <c r="F81" s="20" t="s">
        <v>753</v>
      </c>
      <c r="G81" s="20" t="s">
        <v>755</v>
      </c>
      <c r="H81" s="20" t="s">
        <v>233</v>
      </c>
      <c r="I81" s="20" t="s">
        <v>2300</v>
      </c>
      <c r="J81" s="20" t="s">
        <v>37</v>
      </c>
      <c r="K81" s="20" t="s">
        <v>2301</v>
      </c>
      <c r="L81" s="20" t="s">
        <v>2302</v>
      </c>
      <c r="M81" s="20" t="s">
        <v>37</v>
      </c>
      <c r="N81" s="20" t="s">
        <v>2207</v>
      </c>
      <c r="O81" s="20" t="s">
        <v>37</v>
      </c>
      <c r="P81" s="20" t="s">
        <v>233</v>
      </c>
    </row>
    <row r="82" ht="46" customHeight="1" spans="1:16" x14ac:dyDescent="0.25">
      <c r="A82" s="17" t="s">
        <v>2452</v>
      </c>
      <c r="B82" s="17" t="s">
        <v>46</v>
      </c>
      <c r="C82" s="17" t="s">
        <v>758</v>
      </c>
      <c r="D82" s="17" t="s">
        <v>2453</v>
      </c>
      <c r="E82" s="17" t="s">
        <v>2299</v>
      </c>
      <c r="F82" s="17" t="s">
        <v>760</v>
      </c>
      <c r="G82" s="17" t="s">
        <v>762</v>
      </c>
      <c r="H82" s="17" t="s">
        <v>233</v>
      </c>
      <c r="I82" s="17" t="s">
        <v>2300</v>
      </c>
      <c r="J82" s="17" t="s">
        <v>37</v>
      </c>
      <c r="K82" s="17" t="s">
        <v>2301</v>
      </c>
      <c r="L82" s="17" t="s">
        <v>2302</v>
      </c>
      <c r="M82" s="17" t="s">
        <v>37</v>
      </c>
      <c r="N82" s="17" t="s">
        <v>2207</v>
      </c>
      <c r="O82" s="17" t="s">
        <v>37</v>
      </c>
      <c r="P82" s="17" t="s">
        <v>233</v>
      </c>
    </row>
    <row r="83" ht="46" customHeight="1" spans="1:16" x14ac:dyDescent="0.25">
      <c r="A83" s="20" t="s">
        <v>2454</v>
      </c>
      <c r="B83" s="20" t="s">
        <v>46</v>
      </c>
      <c r="C83" s="20" t="s">
        <v>765</v>
      </c>
      <c r="D83" s="20" t="s">
        <v>2455</v>
      </c>
      <c r="E83" s="20" t="s">
        <v>2299</v>
      </c>
      <c r="F83" s="20" t="s">
        <v>767</v>
      </c>
      <c r="G83" s="20" t="s">
        <v>769</v>
      </c>
      <c r="H83" s="20" t="s">
        <v>233</v>
      </c>
      <c r="I83" s="20" t="s">
        <v>2300</v>
      </c>
      <c r="J83" s="20" t="s">
        <v>37</v>
      </c>
      <c r="K83" s="20" t="s">
        <v>2301</v>
      </c>
      <c r="L83" s="20" t="s">
        <v>2302</v>
      </c>
      <c r="M83" s="20" t="s">
        <v>37</v>
      </c>
      <c r="N83" s="20" t="s">
        <v>2207</v>
      </c>
      <c r="O83" s="20" t="s">
        <v>37</v>
      </c>
      <c r="P83" s="20" t="s">
        <v>233</v>
      </c>
    </row>
    <row r="84" ht="46" customHeight="1" spans="1:16" x14ac:dyDescent="0.25">
      <c r="A84" s="17" t="s">
        <v>2456</v>
      </c>
      <c r="B84" s="17" t="s">
        <v>46</v>
      </c>
      <c r="C84" s="17" t="s">
        <v>772</v>
      </c>
      <c r="D84" s="17" t="s">
        <v>2457</v>
      </c>
      <c r="E84" s="17" t="s">
        <v>2299</v>
      </c>
      <c r="F84" s="17" t="s">
        <v>774</v>
      </c>
      <c r="G84" s="17" t="s">
        <v>776</v>
      </c>
      <c r="H84" s="17" t="s">
        <v>233</v>
      </c>
      <c r="I84" s="17" t="s">
        <v>2300</v>
      </c>
      <c r="J84" s="17" t="s">
        <v>37</v>
      </c>
      <c r="K84" s="17" t="s">
        <v>2301</v>
      </c>
      <c r="L84" s="17" t="s">
        <v>2302</v>
      </c>
      <c r="M84" s="17" t="s">
        <v>37</v>
      </c>
      <c r="N84" s="17" t="s">
        <v>2207</v>
      </c>
      <c r="O84" s="17" t="s">
        <v>37</v>
      </c>
      <c r="P84" s="17" t="s">
        <v>233</v>
      </c>
    </row>
    <row r="85" ht="46" customHeight="1" spans="1:16" x14ac:dyDescent="0.25">
      <c r="A85" s="20" t="s">
        <v>2458</v>
      </c>
      <c r="B85" s="20" t="s">
        <v>47</v>
      </c>
      <c r="C85" s="20" t="s">
        <v>780</v>
      </c>
      <c r="D85" s="20" t="s">
        <v>2459</v>
      </c>
      <c r="E85" s="20" t="s">
        <v>2299</v>
      </c>
      <c r="F85" s="20" t="s">
        <v>782</v>
      </c>
      <c r="G85" s="20" t="s">
        <v>784</v>
      </c>
      <c r="H85" s="20" t="s">
        <v>785</v>
      </c>
      <c r="I85" s="20" t="s">
        <v>2300</v>
      </c>
      <c r="J85" s="20" t="s">
        <v>37</v>
      </c>
      <c r="K85" s="20" t="s">
        <v>2301</v>
      </c>
      <c r="L85" s="20" t="s">
        <v>2302</v>
      </c>
      <c r="M85" s="20" t="s">
        <v>37</v>
      </c>
      <c r="N85" s="20" t="s">
        <v>2207</v>
      </c>
      <c r="O85" s="20" t="s">
        <v>37</v>
      </c>
      <c r="P85" s="20" t="s">
        <v>785</v>
      </c>
    </row>
    <row r="86" ht="46" customHeight="1" spans="1:16" x14ac:dyDescent="0.25">
      <c r="A86" s="17" t="s">
        <v>2460</v>
      </c>
      <c r="B86" s="17" t="s">
        <v>47</v>
      </c>
      <c r="C86" s="17" t="s">
        <v>787</v>
      </c>
      <c r="D86" s="17" t="s">
        <v>2461</v>
      </c>
      <c r="E86" s="17" t="s">
        <v>2299</v>
      </c>
      <c r="F86" s="17" t="s">
        <v>789</v>
      </c>
      <c r="G86" s="17" t="s">
        <v>791</v>
      </c>
      <c r="H86" s="17" t="s">
        <v>785</v>
      </c>
      <c r="I86" s="17" t="s">
        <v>2300</v>
      </c>
      <c r="J86" s="17" t="s">
        <v>37</v>
      </c>
      <c r="K86" s="17" t="s">
        <v>2301</v>
      </c>
      <c r="L86" s="17" t="s">
        <v>2302</v>
      </c>
      <c r="M86" s="17" t="s">
        <v>37</v>
      </c>
      <c r="N86" s="17" t="s">
        <v>2207</v>
      </c>
      <c r="O86" s="17" t="s">
        <v>37</v>
      </c>
      <c r="P86" s="17" t="s">
        <v>785</v>
      </c>
    </row>
    <row r="87" ht="46" customHeight="1" spans="1:16" x14ac:dyDescent="0.25">
      <c r="A87" s="20" t="s">
        <v>2462</v>
      </c>
      <c r="B87" s="20" t="s">
        <v>47</v>
      </c>
      <c r="C87" s="20" t="s">
        <v>794</v>
      </c>
      <c r="D87" s="20" t="s">
        <v>2463</v>
      </c>
      <c r="E87" s="20" t="s">
        <v>2299</v>
      </c>
      <c r="F87" s="20" t="s">
        <v>796</v>
      </c>
      <c r="G87" s="20" t="s">
        <v>798</v>
      </c>
      <c r="H87" s="20" t="s">
        <v>785</v>
      </c>
      <c r="I87" s="20" t="s">
        <v>2300</v>
      </c>
      <c r="J87" s="20" t="s">
        <v>37</v>
      </c>
      <c r="K87" s="20" t="s">
        <v>2301</v>
      </c>
      <c r="L87" s="20" t="s">
        <v>2302</v>
      </c>
      <c r="M87" s="20" t="s">
        <v>37</v>
      </c>
      <c r="N87" s="20" t="s">
        <v>2207</v>
      </c>
      <c r="O87" s="20" t="s">
        <v>37</v>
      </c>
      <c r="P87" s="20" t="s">
        <v>785</v>
      </c>
    </row>
    <row r="88" ht="46" customHeight="1" spans="1:16" x14ac:dyDescent="0.25">
      <c r="A88" s="17" t="s">
        <v>2464</v>
      </c>
      <c r="B88" s="17" t="s">
        <v>47</v>
      </c>
      <c r="C88" s="17" t="s">
        <v>801</v>
      </c>
      <c r="D88" s="17" t="s">
        <v>2465</v>
      </c>
      <c r="E88" s="17" t="s">
        <v>2299</v>
      </c>
      <c r="F88" s="17" t="s">
        <v>803</v>
      </c>
      <c r="G88" s="17" t="s">
        <v>805</v>
      </c>
      <c r="H88" s="17" t="s">
        <v>785</v>
      </c>
      <c r="I88" s="17" t="s">
        <v>2300</v>
      </c>
      <c r="J88" s="17" t="s">
        <v>37</v>
      </c>
      <c r="K88" s="17" t="s">
        <v>2301</v>
      </c>
      <c r="L88" s="17" t="s">
        <v>2302</v>
      </c>
      <c r="M88" s="17" t="s">
        <v>37</v>
      </c>
      <c r="N88" s="17" t="s">
        <v>2207</v>
      </c>
      <c r="O88" s="17" t="s">
        <v>37</v>
      </c>
      <c r="P88" s="17" t="s">
        <v>785</v>
      </c>
    </row>
    <row r="89" ht="46" customHeight="1" spans="1:16" x14ac:dyDescent="0.25">
      <c r="A89" s="20" t="s">
        <v>2466</v>
      </c>
      <c r="B89" s="20" t="s">
        <v>47</v>
      </c>
      <c r="C89" s="20" t="s">
        <v>808</v>
      </c>
      <c r="D89" s="20" t="s">
        <v>2467</v>
      </c>
      <c r="E89" s="20" t="s">
        <v>2299</v>
      </c>
      <c r="F89" s="20" t="s">
        <v>810</v>
      </c>
      <c r="G89" s="20" t="s">
        <v>812</v>
      </c>
      <c r="H89" s="20" t="s">
        <v>785</v>
      </c>
      <c r="I89" s="20" t="s">
        <v>2300</v>
      </c>
      <c r="J89" s="20" t="s">
        <v>37</v>
      </c>
      <c r="K89" s="20" t="s">
        <v>2301</v>
      </c>
      <c r="L89" s="20" t="s">
        <v>2302</v>
      </c>
      <c r="M89" s="20" t="s">
        <v>37</v>
      </c>
      <c r="N89" s="20" t="s">
        <v>2207</v>
      </c>
      <c r="O89" s="20" t="s">
        <v>37</v>
      </c>
      <c r="P89" s="20" t="s">
        <v>785</v>
      </c>
    </row>
    <row r="90" ht="46" customHeight="1" spans="1:16" x14ac:dyDescent="0.25">
      <c r="A90" s="17" t="s">
        <v>2468</v>
      </c>
      <c r="B90" s="17" t="s">
        <v>47</v>
      </c>
      <c r="C90" s="17" t="s">
        <v>815</v>
      </c>
      <c r="D90" s="17" t="s">
        <v>2469</v>
      </c>
      <c r="E90" s="17" t="s">
        <v>2299</v>
      </c>
      <c r="F90" s="17" t="s">
        <v>817</v>
      </c>
      <c r="G90" s="17" t="s">
        <v>819</v>
      </c>
      <c r="H90" s="17" t="s">
        <v>785</v>
      </c>
      <c r="I90" s="17" t="s">
        <v>2300</v>
      </c>
      <c r="J90" s="17" t="s">
        <v>37</v>
      </c>
      <c r="K90" s="17" t="s">
        <v>2301</v>
      </c>
      <c r="L90" s="17" t="s">
        <v>2302</v>
      </c>
      <c r="M90" s="17" t="s">
        <v>37</v>
      </c>
      <c r="N90" s="17" t="s">
        <v>2207</v>
      </c>
      <c r="O90" s="17" t="s">
        <v>37</v>
      </c>
      <c r="P90" s="17" t="s">
        <v>785</v>
      </c>
    </row>
    <row r="91" ht="46" customHeight="1" spans="1:16" x14ac:dyDescent="0.25">
      <c r="A91" s="20" t="s">
        <v>2470</v>
      </c>
      <c r="B91" s="20" t="s">
        <v>47</v>
      </c>
      <c r="C91" s="20" t="s">
        <v>822</v>
      </c>
      <c r="D91" s="20" t="s">
        <v>2471</v>
      </c>
      <c r="E91" s="20" t="s">
        <v>2299</v>
      </c>
      <c r="F91" s="20" t="s">
        <v>824</v>
      </c>
      <c r="G91" s="20" t="s">
        <v>826</v>
      </c>
      <c r="H91" s="20" t="s">
        <v>785</v>
      </c>
      <c r="I91" s="20" t="s">
        <v>2300</v>
      </c>
      <c r="J91" s="20" t="s">
        <v>37</v>
      </c>
      <c r="K91" s="20" t="s">
        <v>2301</v>
      </c>
      <c r="L91" s="20" t="s">
        <v>2302</v>
      </c>
      <c r="M91" s="20" t="s">
        <v>37</v>
      </c>
      <c r="N91" s="20" t="s">
        <v>2207</v>
      </c>
      <c r="O91" s="20" t="s">
        <v>37</v>
      </c>
      <c r="P91" s="20" t="s">
        <v>785</v>
      </c>
    </row>
    <row r="92" ht="46" customHeight="1" spans="1:16" x14ac:dyDescent="0.25">
      <c r="A92" s="17" t="s">
        <v>2472</v>
      </c>
      <c r="B92" s="17" t="s">
        <v>47</v>
      </c>
      <c r="C92" s="17" t="s">
        <v>829</v>
      </c>
      <c r="D92" s="17" t="s">
        <v>2473</v>
      </c>
      <c r="E92" s="17" t="s">
        <v>2299</v>
      </c>
      <c r="F92" s="17" t="s">
        <v>831</v>
      </c>
      <c r="G92" s="17" t="s">
        <v>833</v>
      </c>
      <c r="H92" s="17" t="s">
        <v>785</v>
      </c>
      <c r="I92" s="17" t="s">
        <v>2300</v>
      </c>
      <c r="J92" s="17" t="s">
        <v>37</v>
      </c>
      <c r="K92" s="17" t="s">
        <v>2301</v>
      </c>
      <c r="L92" s="17" t="s">
        <v>2302</v>
      </c>
      <c r="M92" s="17" t="s">
        <v>37</v>
      </c>
      <c r="N92" s="17" t="s">
        <v>2207</v>
      </c>
      <c r="O92" s="17" t="s">
        <v>37</v>
      </c>
      <c r="P92" s="17" t="s">
        <v>785</v>
      </c>
    </row>
    <row r="93" ht="46" customHeight="1" spans="1:16" x14ac:dyDescent="0.25">
      <c r="A93" s="20" t="s">
        <v>2474</v>
      </c>
      <c r="B93" s="20" t="s">
        <v>47</v>
      </c>
      <c r="C93" s="20" t="s">
        <v>836</v>
      </c>
      <c r="D93" s="20" t="s">
        <v>2475</v>
      </c>
      <c r="E93" s="20" t="s">
        <v>2299</v>
      </c>
      <c r="F93" s="20" t="s">
        <v>838</v>
      </c>
      <c r="G93" s="20" t="s">
        <v>840</v>
      </c>
      <c r="H93" s="20" t="s">
        <v>785</v>
      </c>
      <c r="I93" s="20" t="s">
        <v>2300</v>
      </c>
      <c r="J93" s="20" t="s">
        <v>37</v>
      </c>
      <c r="K93" s="20" t="s">
        <v>2301</v>
      </c>
      <c r="L93" s="20" t="s">
        <v>2302</v>
      </c>
      <c r="M93" s="20" t="s">
        <v>37</v>
      </c>
      <c r="N93" s="20" t="s">
        <v>2207</v>
      </c>
      <c r="O93" s="20" t="s">
        <v>37</v>
      </c>
      <c r="P93" s="20" t="s">
        <v>785</v>
      </c>
    </row>
    <row r="94" ht="46" customHeight="1" spans="1:16" x14ac:dyDescent="0.25">
      <c r="A94" s="17" t="s">
        <v>2476</v>
      </c>
      <c r="B94" s="17" t="s">
        <v>47</v>
      </c>
      <c r="C94" s="17" t="s">
        <v>843</v>
      </c>
      <c r="D94" s="17" t="s">
        <v>2477</v>
      </c>
      <c r="E94" s="17" t="s">
        <v>2299</v>
      </c>
      <c r="F94" s="17" t="s">
        <v>845</v>
      </c>
      <c r="G94" s="17" t="s">
        <v>847</v>
      </c>
      <c r="H94" s="17" t="s">
        <v>785</v>
      </c>
      <c r="I94" s="17" t="s">
        <v>2300</v>
      </c>
      <c r="J94" s="17" t="s">
        <v>37</v>
      </c>
      <c r="K94" s="17" t="s">
        <v>2301</v>
      </c>
      <c r="L94" s="17" t="s">
        <v>2302</v>
      </c>
      <c r="M94" s="17" t="s">
        <v>37</v>
      </c>
      <c r="N94" s="17" t="s">
        <v>2207</v>
      </c>
      <c r="O94" s="17" t="s">
        <v>37</v>
      </c>
      <c r="P94" s="17" t="s">
        <v>785</v>
      </c>
    </row>
    <row r="95" ht="46" customHeight="1" spans="1:16" x14ac:dyDescent="0.25">
      <c r="A95" s="20" t="s">
        <v>2478</v>
      </c>
      <c r="B95" s="20" t="s">
        <v>47</v>
      </c>
      <c r="C95" s="20" t="s">
        <v>850</v>
      </c>
      <c r="D95" s="20" t="s">
        <v>2479</v>
      </c>
      <c r="E95" s="20" t="s">
        <v>2299</v>
      </c>
      <c r="F95" s="20" t="s">
        <v>852</v>
      </c>
      <c r="G95" s="20" t="s">
        <v>854</v>
      </c>
      <c r="H95" s="20" t="s">
        <v>785</v>
      </c>
      <c r="I95" s="20" t="s">
        <v>2300</v>
      </c>
      <c r="J95" s="20" t="s">
        <v>37</v>
      </c>
      <c r="K95" s="20" t="s">
        <v>2301</v>
      </c>
      <c r="L95" s="20" t="s">
        <v>2302</v>
      </c>
      <c r="M95" s="20" t="s">
        <v>37</v>
      </c>
      <c r="N95" s="20" t="s">
        <v>2207</v>
      </c>
      <c r="O95" s="20" t="s">
        <v>37</v>
      </c>
      <c r="P95" s="20" t="s">
        <v>785</v>
      </c>
    </row>
    <row r="96" ht="46" customHeight="1" spans="1:16" x14ac:dyDescent="0.25">
      <c r="A96" s="17" t="s">
        <v>2480</v>
      </c>
      <c r="B96" s="17" t="s">
        <v>47</v>
      </c>
      <c r="C96" s="17" t="s">
        <v>857</v>
      </c>
      <c r="D96" s="17" t="s">
        <v>2481</v>
      </c>
      <c r="E96" s="17" t="s">
        <v>2299</v>
      </c>
      <c r="F96" s="17" t="s">
        <v>859</v>
      </c>
      <c r="G96" s="17" t="s">
        <v>861</v>
      </c>
      <c r="H96" s="17" t="s">
        <v>785</v>
      </c>
      <c r="I96" s="17" t="s">
        <v>2300</v>
      </c>
      <c r="J96" s="17" t="s">
        <v>37</v>
      </c>
      <c r="K96" s="17" t="s">
        <v>2301</v>
      </c>
      <c r="L96" s="17" t="s">
        <v>2302</v>
      </c>
      <c r="M96" s="17" t="s">
        <v>37</v>
      </c>
      <c r="N96" s="17" t="s">
        <v>2207</v>
      </c>
      <c r="O96" s="17" t="s">
        <v>37</v>
      </c>
      <c r="P96" s="17" t="s">
        <v>785</v>
      </c>
    </row>
    <row r="97" ht="46" customHeight="1" spans="1:16" x14ac:dyDescent="0.25">
      <c r="A97" s="20" t="s">
        <v>2482</v>
      </c>
      <c r="B97" s="20" t="s">
        <v>47</v>
      </c>
      <c r="C97" s="20" t="s">
        <v>864</v>
      </c>
      <c r="D97" s="20" t="s">
        <v>2483</v>
      </c>
      <c r="E97" s="20" t="s">
        <v>2299</v>
      </c>
      <c r="F97" s="20" t="s">
        <v>866</v>
      </c>
      <c r="G97" s="20" t="s">
        <v>868</v>
      </c>
      <c r="H97" s="20" t="s">
        <v>785</v>
      </c>
      <c r="I97" s="20" t="s">
        <v>2300</v>
      </c>
      <c r="J97" s="20" t="s">
        <v>37</v>
      </c>
      <c r="K97" s="20" t="s">
        <v>2301</v>
      </c>
      <c r="L97" s="20" t="s">
        <v>2302</v>
      </c>
      <c r="M97" s="20" t="s">
        <v>37</v>
      </c>
      <c r="N97" s="20" t="s">
        <v>2207</v>
      </c>
      <c r="O97" s="20" t="s">
        <v>37</v>
      </c>
      <c r="P97" s="20" t="s">
        <v>785</v>
      </c>
    </row>
    <row r="98" ht="46" customHeight="1" spans="1:16" x14ac:dyDescent="0.25">
      <c r="A98" s="17" t="s">
        <v>2484</v>
      </c>
      <c r="B98" s="17" t="s">
        <v>47</v>
      </c>
      <c r="C98" s="17" t="s">
        <v>871</v>
      </c>
      <c r="D98" s="17" t="s">
        <v>2485</v>
      </c>
      <c r="E98" s="17" t="s">
        <v>2299</v>
      </c>
      <c r="F98" s="17" t="s">
        <v>873</v>
      </c>
      <c r="G98" s="17" t="s">
        <v>875</v>
      </c>
      <c r="H98" s="17" t="s">
        <v>785</v>
      </c>
      <c r="I98" s="17" t="s">
        <v>2300</v>
      </c>
      <c r="J98" s="17" t="s">
        <v>37</v>
      </c>
      <c r="K98" s="17" t="s">
        <v>2301</v>
      </c>
      <c r="L98" s="17" t="s">
        <v>2302</v>
      </c>
      <c r="M98" s="17" t="s">
        <v>37</v>
      </c>
      <c r="N98" s="17" t="s">
        <v>2207</v>
      </c>
      <c r="O98" s="17" t="s">
        <v>37</v>
      </c>
      <c r="P98" s="17" t="s">
        <v>785</v>
      </c>
    </row>
    <row r="99" ht="46" customHeight="1" spans="1:16" x14ac:dyDescent="0.25">
      <c r="A99" s="20" t="s">
        <v>2486</v>
      </c>
      <c r="B99" s="20" t="s">
        <v>48</v>
      </c>
      <c r="C99" s="20" t="s">
        <v>878</v>
      </c>
      <c r="D99" s="20" t="s">
        <v>2487</v>
      </c>
      <c r="E99" s="20" t="s">
        <v>2299</v>
      </c>
      <c r="F99" s="20" t="s">
        <v>880</v>
      </c>
      <c r="G99" s="20" t="s">
        <v>882</v>
      </c>
      <c r="H99" s="20" t="s">
        <v>883</v>
      </c>
      <c r="I99" s="20" t="s">
        <v>2300</v>
      </c>
      <c r="J99" s="20" t="s">
        <v>37</v>
      </c>
      <c r="K99" s="20" t="s">
        <v>2301</v>
      </c>
      <c r="L99" s="20" t="s">
        <v>2302</v>
      </c>
      <c r="M99" s="20" t="s">
        <v>37</v>
      </c>
      <c r="N99" s="20" t="s">
        <v>2207</v>
      </c>
      <c r="O99" s="20" t="s">
        <v>37</v>
      </c>
      <c r="P99" s="20" t="s">
        <v>883</v>
      </c>
    </row>
    <row r="100" ht="46" customHeight="1" spans="1:16" x14ac:dyDescent="0.25">
      <c r="A100" s="17" t="s">
        <v>2488</v>
      </c>
      <c r="B100" s="17" t="s">
        <v>48</v>
      </c>
      <c r="C100" s="17" t="s">
        <v>885</v>
      </c>
      <c r="D100" s="17" t="s">
        <v>2489</v>
      </c>
      <c r="E100" s="17" t="s">
        <v>2299</v>
      </c>
      <c r="F100" s="17" t="s">
        <v>887</v>
      </c>
      <c r="G100" s="17" t="s">
        <v>889</v>
      </c>
      <c r="H100" s="17" t="s">
        <v>883</v>
      </c>
      <c r="I100" s="17" t="s">
        <v>2300</v>
      </c>
      <c r="J100" s="17" t="s">
        <v>37</v>
      </c>
      <c r="K100" s="17" t="s">
        <v>2301</v>
      </c>
      <c r="L100" s="17" t="s">
        <v>2302</v>
      </c>
      <c r="M100" s="17" t="s">
        <v>37</v>
      </c>
      <c r="N100" s="17" t="s">
        <v>2207</v>
      </c>
      <c r="O100" s="17" t="s">
        <v>37</v>
      </c>
      <c r="P100" s="17" t="s">
        <v>883</v>
      </c>
    </row>
    <row r="101" ht="46" customHeight="1" spans="1:16" x14ac:dyDescent="0.25">
      <c r="A101" s="20" t="s">
        <v>2490</v>
      </c>
      <c r="B101" s="20" t="s">
        <v>48</v>
      </c>
      <c r="C101" s="20" t="s">
        <v>892</v>
      </c>
      <c r="D101" s="20" t="s">
        <v>2491</v>
      </c>
      <c r="E101" s="20" t="s">
        <v>2299</v>
      </c>
      <c r="F101" s="20" t="s">
        <v>894</v>
      </c>
      <c r="G101" s="20" t="s">
        <v>896</v>
      </c>
      <c r="H101" s="20" t="s">
        <v>883</v>
      </c>
      <c r="I101" s="20" t="s">
        <v>2300</v>
      </c>
      <c r="J101" s="20" t="s">
        <v>37</v>
      </c>
      <c r="K101" s="20" t="s">
        <v>2301</v>
      </c>
      <c r="L101" s="20" t="s">
        <v>2302</v>
      </c>
      <c r="M101" s="20" t="s">
        <v>37</v>
      </c>
      <c r="N101" s="20" t="s">
        <v>2207</v>
      </c>
      <c r="O101" s="20" t="s">
        <v>37</v>
      </c>
      <c r="P101" s="20" t="s">
        <v>883</v>
      </c>
    </row>
    <row r="102" ht="46" customHeight="1" spans="1:16" x14ac:dyDescent="0.25">
      <c r="A102" s="17" t="s">
        <v>2492</v>
      </c>
      <c r="B102" s="17" t="s">
        <v>48</v>
      </c>
      <c r="C102" s="17" t="s">
        <v>899</v>
      </c>
      <c r="D102" s="17" t="s">
        <v>2493</v>
      </c>
      <c r="E102" s="17" t="s">
        <v>2299</v>
      </c>
      <c r="F102" s="17" t="s">
        <v>901</v>
      </c>
      <c r="G102" s="17" t="s">
        <v>903</v>
      </c>
      <c r="H102" s="17" t="s">
        <v>883</v>
      </c>
      <c r="I102" s="17" t="s">
        <v>2300</v>
      </c>
      <c r="J102" s="17" t="s">
        <v>37</v>
      </c>
      <c r="K102" s="17" t="s">
        <v>2301</v>
      </c>
      <c r="L102" s="17" t="s">
        <v>2302</v>
      </c>
      <c r="M102" s="17" t="s">
        <v>37</v>
      </c>
      <c r="N102" s="17" t="s">
        <v>2207</v>
      </c>
      <c r="O102" s="17" t="s">
        <v>37</v>
      </c>
      <c r="P102" s="17" t="s">
        <v>883</v>
      </c>
    </row>
    <row r="103" ht="46" customHeight="1" spans="1:16" x14ac:dyDescent="0.25">
      <c r="A103" s="20" t="s">
        <v>2494</v>
      </c>
      <c r="B103" s="20" t="s">
        <v>48</v>
      </c>
      <c r="C103" s="20" t="s">
        <v>906</v>
      </c>
      <c r="D103" s="20" t="s">
        <v>2495</v>
      </c>
      <c r="E103" s="20" t="s">
        <v>2299</v>
      </c>
      <c r="F103" s="20" t="s">
        <v>908</v>
      </c>
      <c r="G103" s="20" t="s">
        <v>910</v>
      </c>
      <c r="H103" s="20" t="s">
        <v>883</v>
      </c>
      <c r="I103" s="20" t="s">
        <v>2300</v>
      </c>
      <c r="J103" s="20" t="s">
        <v>37</v>
      </c>
      <c r="K103" s="20" t="s">
        <v>2301</v>
      </c>
      <c r="L103" s="20" t="s">
        <v>2302</v>
      </c>
      <c r="M103" s="20" t="s">
        <v>37</v>
      </c>
      <c r="N103" s="20" t="s">
        <v>2207</v>
      </c>
      <c r="O103" s="20" t="s">
        <v>37</v>
      </c>
      <c r="P103" s="20" t="s">
        <v>883</v>
      </c>
    </row>
    <row r="104" ht="46" customHeight="1" spans="1:16" x14ac:dyDescent="0.25">
      <c r="A104" s="17" t="s">
        <v>2496</v>
      </c>
      <c r="B104" s="17" t="s">
        <v>48</v>
      </c>
      <c r="C104" s="17" t="s">
        <v>913</v>
      </c>
      <c r="D104" s="17" t="s">
        <v>2497</v>
      </c>
      <c r="E104" s="17" t="s">
        <v>2299</v>
      </c>
      <c r="F104" s="17" t="s">
        <v>915</v>
      </c>
      <c r="G104" s="17" t="s">
        <v>917</v>
      </c>
      <c r="H104" s="17" t="s">
        <v>883</v>
      </c>
      <c r="I104" s="17" t="s">
        <v>2300</v>
      </c>
      <c r="J104" s="17" t="s">
        <v>37</v>
      </c>
      <c r="K104" s="17" t="s">
        <v>2301</v>
      </c>
      <c r="L104" s="17" t="s">
        <v>2302</v>
      </c>
      <c r="M104" s="17" t="s">
        <v>37</v>
      </c>
      <c r="N104" s="17" t="s">
        <v>2207</v>
      </c>
      <c r="O104" s="17" t="s">
        <v>37</v>
      </c>
      <c r="P104" s="17" t="s">
        <v>883</v>
      </c>
    </row>
    <row r="105" ht="46" customHeight="1" spans="1:16" x14ac:dyDescent="0.25">
      <c r="A105" s="20" t="s">
        <v>2498</v>
      </c>
      <c r="B105" s="20" t="s">
        <v>48</v>
      </c>
      <c r="C105" s="20" t="s">
        <v>920</v>
      </c>
      <c r="D105" s="20" t="s">
        <v>2499</v>
      </c>
      <c r="E105" s="20" t="s">
        <v>2299</v>
      </c>
      <c r="F105" s="20" t="s">
        <v>922</v>
      </c>
      <c r="G105" s="20" t="s">
        <v>924</v>
      </c>
      <c r="H105" s="20" t="s">
        <v>883</v>
      </c>
      <c r="I105" s="20" t="s">
        <v>2300</v>
      </c>
      <c r="J105" s="20" t="s">
        <v>37</v>
      </c>
      <c r="K105" s="20" t="s">
        <v>2301</v>
      </c>
      <c r="L105" s="20" t="s">
        <v>2302</v>
      </c>
      <c r="M105" s="20" t="s">
        <v>37</v>
      </c>
      <c r="N105" s="20" t="s">
        <v>2207</v>
      </c>
      <c r="O105" s="20" t="s">
        <v>37</v>
      </c>
      <c r="P105" s="20" t="s">
        <v>883</v>
      </c>
    </row>
    <row r="106" ht="46" customHeight="1" spans="1:16" x14ac:dyDescent="0.25">
      <c r="A106" s="17" t="s">
        <v>2500</v>
      </c>
      <c r="B106" s="17" t="s">
        <v>48</v>
      </c>
      <c r="C106" s="17" t="s">
        <v>927</v>
      </c>
      <c r="D106" s="17" t="s">
        <v>2501</v>
      </c>
      <c r="E106" s="17" t="s">
        <v>2299</v>
      </c>
      <c r="F106" s="17" t="s">
        <v>929</v>
      </c>
      <c r="G106" s="17" t="s">
        <v>931</v>
      </c>
      <c r="H106" s="17" t="s">
        <v>883</v>
      </c>
      <c r="I106" s="17" t="s">
        <v>2300</v>
      </c>
      <c r="J106" s="17" t="s">
        <v>37</v>
      </c>
      <c r="K106" s="17" t="s">
        <v>2301</v>
      </c>
      <c r="L106" s="17" t="s">
        <v>2302</v>
      </c>
      <c r="M106" s="17" t="s">
        <v>37</v>
      </c>
      <c r="N106" s="17" t="s">
        <v>2207</v>
      </c>
      <c r="O106" s="17" t="s">
        <v>37</v>
      </c>
      <c r="P106" s="17" t="s">
        <v>883</v>
      </c>
    </row>
    <row r="107" ht="46" customHeight="1" spans="1:16" x14ac:dyDescent="0.25">
      <c r="A107" s="20" t="s">
        <v>2502</v>
      </c>
      <c r="B107" s="20" t="s">
        <v>48</v>
      </c>
      <c r="C107" s="20" t="s">
        <v>934</v>
      </c>
      <c r="D107" s="20" t="s">
        <v>2503</v>
      </c>
      <c r="E107" s="20" t="s">
        <v>2299</v>
      </c>
      <c r="F107" s="20" t="s">
        <v>936</v>
      </c>
      <c r="G107" s="20" t="s">
        <v>938</v>
      </c>
      <c r="H107" s="20" t="s">
        <v>883</v>
      </c>
      <c r="I107" s="20" t="s">
        <v>2300</v>
      </c>
      <c r="J107" s="20" t="s">
        <v>37</v>
      </c>
      <c r="K107" s="20" t="s">
        <v>2301</v>
      </c>
      <c r="L107" s="20" t="s">
        <v>2302</v>
      </c>
      <c r="M107" s="20" t="s">
        <v>37</v>
      </c>
      <c r="N107" s="20" t="s">
        <v>2207</v>
      </c>
      <c r="O107" s="20" t="s">
        <v>37</v>
      </c>
      <c r="P107" s="20" t="s">
        <v>883</v>
      </c>
    </row>
    <row r="108" ht="46" customHeight="1" spans="1:16" x14ac:dyDescent="0.25">
      <c r="A108" s="17" t="s">
        <v>2504</v>
      </c>
      <c r="B108" s="17" t="s">
        <v>48</v>
      </c>
      <c r="C108" s="17" t="s">
        <v>941</v>
      </c>
      <c r="D108" s="17" t="s">
        <v>2505</v>
      </c>
      <c r="E108" s="17" t="s">
        <v>2299</v>
      </c>
      <c r="F108" s="17" t="s">
        <v>943</v>
      </c>
      <c r="G108" s="17" t="s">
        <v>945</v>
      </c>
      <c r="H108" s="17" t="s">
        <v>883</v>
      </c>
      <c r="I108" s="17" t="s">
        <v>2300</v>
      </c>
      <c r="J108" s="17" t="s">
        <v>37</v>
      </c>
      <c r="K108" s="17" t="s">
        <v>2301</v>
      </c>
      <c r="L108" s="17" t="s">
        <v>2302</v>
      </c>
      <c r="M108" s="17" t="s">
        <v>37</v>
      </c>
      <c r="N108" s="17" t="s">
        <v>2207</v>
      </c>
      <c r="O108" s="17" t="s">
        <v>37</v>
      </c>
      <c r="P108" s="17" t="s">
        <v>883</v>
      </c>
    </row>
    <row r="109" ht="46" customHeight="1" spans="1:16" x14ac:dyDescent="0.25">
      <c r="A109" s="20" t="s">
        <v>2506</v>
      </c>
      <c r="B109" s="20" t="s">
        <v>48</v>
      </c>
      <c r="C109" s="20" t="s">
        <v>948</v>
      </c>
      <c r="D109" s="20" t="s">
        <v>2507</v>
      </c>
      <c r="E109" s="20" t="s">
        <v>2299</v>
      </c>
      <c r="F109" s="20" t="s">
        <v>950</v>
      </c>
      <c r="G109" s="20" t="s">
        <v>952</v>
      </c>
      <c r="H109" s="20" t="s">
        <v>883</v>
      </c>
      <c r="I109" s="20" t="s">
        <v>2300</v>
      </c>
      <c r="J109" s="20" t="s">
        <v>37</v>
      </c>
      <c r="K109" s="20" t="s">
        <v>2301</v>
      </c>
      <c r="L109" s="20" t="s">
        <v>2302</v>
      </c>
      <c r="M109" s="20" t="s">
        <v>37</v>
      </c>
      <c r="N109" s="20" t="s">
        <v>2207</v>
      </c>
      <c r="O109" s="20" t="s">
        <v>37</v>
      </c>
      <c r="P109" s="20" t="s">
        <v>883</v>
      </c>
    </row>
    <row r="110" ht="46" customHeight="1" spans="1:16" x14ac:dyDescent="0.25">
      <c r="A110" s="17" t="s">
        <v>2508</v>
      </c>
      <c r="B110" s="17" t="s">
        <v>48</v>
      </c>
      <c r="C110" s="17" t="s">
        <v>836</v>
      </c>
      <c r="D110" s="17" t="s">
        <v>2475</v>
      </c>
      <c r="E110" s="17" t="s">
        <v>2299</v>
      </c>
      <c r="F110" s="17" t="s">
        <v>838</v>
      </c>
      <c r="G110" s="17" t="s">
        <v>840</v>
      </c>
      <c r="H110" s="17" t="s">
        <v>883</v>
      </c>
      <c r="I110" s="17" t="s">
        <v>2300</v>
      </c>
      <c r="J110" s="17" t="s">
        <v>37</v>
      </c>
      <c r="K110" s="17" t="s">
        <v>2301</v>
      </c>
      <c r="L110" s="17" t="s">
        <v>2302</v>
      </c>
      <c r="M110" s="17" t="s">
        <v>37</v>
      </c>
      <c r="N110" s="17" t="s">
        <v>2207</v>
      </c>
      <c r="O110" s="17" t="s">
        <v>37</v>
      </c>
      <c r="P110" s="17" t="s">
        <v>883</v>
      </c>
    </row>
    <row r="111" ht="46" customHeight="1" spans="1:16" x14ac:dyDescent="0.25">
      <c r="A111" s="20" t="s">
        <v>2509</v>
      </c>
      <c r="B111" s="20" t="s">
        <v>48</v>
      </c>
      <c r="C111" s="20" t="s">
        <v>957</v>
      </c>
      <c r="D111" s="20" t="s">
        <v>2510</v>
      </c>
      <c r="E111" s="20" t="s">
        <v>2299</v>
      </c>
      <c r="F111" s="20" t="s">
        <v>959</v>
      </c>
      <c r="G111" s="20" t="s">
        <v>961</v>
      </c>
      <c r="H111" s="20" t="s">
        <v>883</v>
      </c>
      <c r="I111" s="20" t="s">
        <v>2300</v>
      </c>
      <c r="J111" s="20" t="s">
        <v>37</v>
      </c>
      <c r="K111" s="20" t="s">
        <v>2301</v>
      </c>
      <c r="L111" s="20" t="s">
        <v>2302</v>
      </c>
      <c r="M111" s="20" t="s">
        <v>37</v>
      </c>
      <c r="N111" s="20" t="s">
        <v>2207</v>
      </c>
      <c r="O111" s="20" t="s">
        <v>37</v>
      </c>
      <c r="P111" s="20" t="s">
        <v>883</v>
      </c>
    </row>
    <row r="112" ht="46" customHeight="1" spans="1:16" x14ac:dyDescent="0.25">
      <c r="A112" s="17" t="s">
        <v>2511</v>
      </c>
      <c r="B112" s="17" t="s">
        <v>48</v>
      </c>
      <c r="C112" s="17" t="s">
        <v>964</v>
      </c>
      <c r="D112" s="17" t="s">
        <v>2512</v>
      </c>
      <c r="E112" s="17" t="s">
        <v>2299</v>
      </c>
      <c r="F112" s="17" t="s">
        <v>966</v>
      </c>
      <c r="G112" s="17" t="s">
        <v>968</v>
      </c>
      <c r="H112" s="17" t="s">
        <v>883</v>
      </c>
      <c r="I112" s="17" t="s">
        <v>2300</v>
      </c>
      <c r="J112" s="17" t="s">
        <v>37</v>
      </c>
      <c r="K112" s="17" t="s">
        <v>2301</v>
      </c>
      <c r="L112" s="17" t="s">
        <v>2302</v>
      </c>
      <c r="M112" s="17" t="s">
        <v>37</v>
      </c>
      <c r="N112" s="17" t="s">
        <v>2207</v>
      </c>
      <c r="O112" s="17" t="s">
        <v>37</v>
      </c>
      <c r="P112" s="17" t="s">
        <v>883</v>
      </c>
    </row>
    <row r="113" ht="46" customHeight="1" spans="1:16" x14ac:dyDescent="0.25">
      <c r="A113" s="20" t="s">
        <v>2513</v>
      </c>
      <c r="B113" s="20" t="s">
        <v>49</v>
      </c>
      <c r="C113" s="20" t="s">
        <v>971</v>
      </c>
      <c r="D113" s="20" t="s">
        <v>2514</v>
      </c>
      <c r="E113" s="20" t="s">
        <v>2299</v>
      </c>
      <c r="F113" s="20" t="s">
        <v>973</v>
      </c>
      <c r="G113" s="20" t="s">
        <v>975</v>
      </c>
      <c r="H113" s="20" t="s">
        <v>976</v>
      </c>
      <c r="I113" s="20" t="s">
        <v>2300</v>
      </c>
      <c r="J113" s="20" t="s">
        <v>37</v>
      </c>
      <c r="K113" s="20" t="s">
        <v>2301</v>
      </c>
      <c r="L113" s="20" t="s">
        <v>2302</v>
      </c>
      <c r="M113" s="20" t="s">
        <v>37</v>
      </c>
      <c r="N113" s="20" t="s">
        <v>2207</v>
      </c>
      <c r="O113" s="20" t="s">
        <v>37</v>
      </c>
      <c r="P113" s="20" t="s">
        <v>976</v>
      </c>
    </row>
    <row r="114" ht="46" customHeight="1" spans="1:16" x14ac:dyDescent="0.25">
      <c r="A114" s="17" t="s">
        <v>2515</v>
      </c>
      <c r="B114" s="17" t="s">
        <v>49</v>
      </c>
      <c r="C114" s="17" t="s">
        <v>978</v>
      </c>
      <c r="D114" s="17" t="s">
        <v>2516</v>
      </c>
      <c r="E114" s="17" t="s">
        <v>2299</v>
      </c>
      <c r="F114" s="17" t="s">
        <v>980</v>
      </c>
      <c r="G114" s="17" t="s">
        <v>982</v>
      </c>
      <c r="H114" s="17" t="s">
        <v>976</v>
      </c>
      <c r="I114" s="17" t="s">
        <v>2300</v>
      </c>
      <c r="J114" s="17" t="s">
        <v>37</v>
      </c>
      <c r="K114" s="17" t="s">
        <v>2301</v>
      </c>
      <c r="L114" s="17" t="s">
        <v>2302</v>
      </c>
      <c r="M114" s="17" t="s">
        <v>37</v>
      </c>
      <c r="N114" s="17" t="s">
        <v>2207</v>
      </c>
      <c r="O114" s="17" t="s">
        <v>37</v>
      </c>
      <c r="P114" s="17" t="s">
        <v>976</v>
      </c>
    </row>
    <row r="115" ht="46" customHeight="1" spans="1:16" x14ac:dyDescent="0.25">
      <c r="A115" s="20" t="s">
        <v>2517</v>
      </c>
      <c r="B115" s="20" t="s">
        <v>49</v>
      </c>
      <c r="C115" s="20" t="s">
        <v>985</v>
      </c>
      <c r="D115" s="20" t="s">
        <v>2518</v>
      </c>
      <c r="E115" s="20" t="s">
        <v>2299</v>
      </c>
      <c r="F115" s="20" t="s">
        <v>987</v>
      </c>
      <c r="G115" s="20" t="s">
        <v>989</v>
      </c>
      <c r="H115" s="20" t="s">
        <v>976</v>
      </c>
      <c r="I115" s="20" t="s">
        <v>2300</v>
      </c>
      <c r="J115" s="20" t="s">
        <v>37</v>
      </c>
      <c r="K115" s="20" t="s">
        <v>2301</v>
      </c>
      <c r="L115" s="20" t="s">
        <v>2302</v>
      </c>
      <c r="M115" s="20" t="s">
        <v>37</v>
      </c>
      <c r="N115" s="20" t="s">
        <v>2207</v>
      </c>
      <c r="O115" s="20" t="s">
        <v>37</v>
      </c>
      <c r="P115" s="20" t="s">
        <v>976</v>
      </c>
    </row>
    <row r="116" ht="46" customHeight="1" spans="1:16" x14ac:dyDescent="0.25">
      <c r="A116" s="17" t="s">
        <v>2519</v>
      </c>
      <c r="B116" s="17" t="s">
        <v>49</v>
      </c>
      <c r="C116" s="17" t="s">
        <v>992</v>
      </c>
      <c r="D116" s="17" t="s">
        <v>2520</v>
      </c>
      <c r="E116" s="17" t="s">
        <v>2299</v>
      </c>
      <c r="F116" s="17" t="s">
        <v>994</v>
      </c>
      <c r="G116" s="17" t="s">
        <v>996</v>
      </c>
      <c r="H116" s="17" t="s">
        <v>976</v>
      </c>
      <c r="I116" s="17" t="s">
        <v>2300</v>
      </c>
      <c r="J116" s="17" t="s">
        <v>37</v>
      </c>
      <c r="K116" s="17" t="s">
        <v>2301</v>
      </c>
      <c r="L116" s="17" t="s">
        <v>2302</v>
      </c>
      <c r="M116" s="17" t="s">
        <v>37</v>
      </c>
      <c r="N116" s="17" t="s">
        <v>2207</v>
      </c>
      <c r="O116" s="17" t="s">
        <v>37</v>
      </c>
      <c r="P116" s="17" t="s">
        <v>976</v>
      </c>
    </row>
    <row r="117" ht="46" customHeight="1" spans="1:16" x14ac:dyDescent="0.25">
      <c r="A117" s="20" t="s">
        <v>2521</v>
      </c>
      <c r="B117" s="20" t="s">
        <v>49</v>
      </c>
      <c r="C117" s="20" t="s">
        <v>999</v>
      </c>
      <c r="D117" s="20" t="s">
        <v>2522</v>
      </c>
      <c r="E117" s="20" t="s">
        <v>2299</v>
      </c>
      <c r="F117" s="20" t="s">
        <v>1001</v>
      </c>
      <c r="G117" s="20" t="s">
        <v>1003</v>
      </c>
      <c r="H117" s="20" t="s">
        <v>976</v>
      </c>
      <c r="I117" s="20" t="s">
        <v>2300</v>
      </c>
      <c r="J117" s="20" t="s">
        <v>37</v>
      </c>
      <c r="K117" s="20" t="s">
        <v>2301</v>
      </c>
      <c r="L117" s="20" t="s">
        <v>2302</v>
      </c>
      <c r="M117" s="20" t="s">
        <v>37</v>
      </c>
      <c r="N117" s="20" t="s">
        <v>2207</v>
      </c>
      <c r="O117" s="20" t="s">
        <v>37</v>
      </c>
      <c r="P117" s="20" t="s">
        <v>976</v>
      </c>
    </row>
    <row r="118" ht="46" customHeight="1" spans="1:16" x14ac:dyDescent="0.25">
      <c r="A118" s="17" t="s">
        <v>2523</v>
      </c>
      <c r="B118" s="17" t="s">
        <v>49</v>
      </c>
      <c r="C118" s="17" t="s">
        <v>1006</v>
      </c>
      <c r="D118" s="17" t="s">
        <v>2524</v>
      </c>
      <c r="E118" s="17" t="s">
        <v>2299</v>
      </c>
      <c r="F118" s="17" t="s">
        <v>1008</v>
      </c>
      <c r="G118" s="17" t="s">
        <v>1010</v>
      </c>
      <c r="H118" s="17" t="s">
        <v>976</v>
      </c>
      <c r="I118" s="17" t="s">
        <v>2300</v>
      </c>
      <c r="J118" s="17" t="s">
        <v>37</v>
      </c>
      <c r="K118" s="17" t="s">
        <v>2301</v>
      </c>
      <c r="L118" s="17" t="s">
        <v>2302</v>
      </c>
      <c r="M118" s="17" t="s">
        <v>37</v>
      </c>
      <c r="N118" s="17" t="s">
        <v>2207</v>
      </c>
      <c r="O118" s="17" t="s">
        <v>37</v>
      </c>
      <c r="P118" s="17" t="s">
        <v>976</v>
      </c>
    </row>
    <row r="119" ht="46" customHeight="1" spans="1:16" x14ac:dyDescent="0.25">
      <c r="A119" s="20" t="s">
        <v>2525</v>
      </c>
      <c r="B119" s="20" t="s">
        <v>49</v>
      </c>
      <c r="C119" s="20" t="s">
        <v>1013</v>
      </c>
      <c r="D119" s="20" t="s">
        <v>2526</v>
      </c>
      <c r="E119" s="20" t="s">
        <v>2299</v>
      </c>
      <c r="F119" s="20" t="s">
        <v>1015</v>
      </c>
      <c r="G119" s="20" t="s">
        <v>1017</v>
      </c>
      <c r="H119" s="20" t="s">
        <v>976</v>
      </c>
      <c r="I119" s="20" t="s">
        <v>2300</v>
      </c>
      <c r="J119" s="20" t="s">
        <v>37</v>
      </c>
      <c r="K119" s="20" t="s">
        <v>2301</v>
      </c>
      <c r="L119" s="20" t="s">
        <v>2302</v>
      </c>
      <c r="M119" s="20" t="s">
        <v>37</v>
      </c>
      <c r="N119" s="20" t="s">
        <v>2207</v>
      </c>
      <c r="O119" s="20" t="s">
        <v>37</v>
      </c>
      <c r="P119" s="20" t="s">
        <v>976</v>
      </c>
    </row>
    <row r="120" ht="46" customHeight="1" spans="1:16" x14ac:dyDescent="0.25">
      <c r="A120" s="17" t="s">
        <v>2527</v>
      </c>
      <c r="B120" s="17" t="s">
        <v>50</v>
      </c>
      <c r="C120" s="17" t="s">
        <v>1020</v>
      </c>
      <c r="D120" s="17" t="s">
        <v>2528</v>
      </c>
      <c r="E120" s="17" t="s">
        <v>2299</v>
      </c>
      <c r="F120" s="17" t="s">
        <v>1022</v>
      </c>
      <c r="G120" s="17" t="s">
        <v>1024</v>
      </c>
      <c r="H120" s="17" t="s">
        <v>1025</v>
      </c>
      <c r="I120" s="17" t="s">
        <v>2300</v>
      </c>
      <c r="J120" s="17" t="s">
        <v>37</v>
      </c>
      <c r="K120" s="17" t="s">
        <v>2301</v>
      </c>
      <c r="L120" s="17" t="s">
        <v>2302</v>
      </c>
      <c r="M120" s="17" t="s">
        <v>37</v>
      </c>
      <c r="N120" s="17" t="s">
        <v>2207</v>
      </c>
      <c r="O120" s="17" t="s">
        <v>37</v>
      </c>
      <c r="P120" s="17" t="s">
        <v>1025</v>
      </c>
    </row>
    <row r="121" ht="46" customHeight="1" spans="1:16" x14ac:dyDescent="0.25">
      <c r="A121" s="20" t="s">
        <v>2529</v>
      </c>
      <c r="B121" s="20" t="s">
        <v>50</v>
      </c>
      <c r="C121" s="20" t="s">
        <v>1027</v>
      </c>
      <c r="D121" s="20" t="s">
        <v>2530</v>
      </c>
      <c r="E121" s="20" t="s">
        <v>2299</v>
      </c>
      <c r="F121" s="20" t="s">
        <v>1029</v>
      </c>
      <c r="G121" s="20" t="s">
        <v>1031</v>
      </c>
      <c r="H121" s="20" t="s">
        <v>1025</v>
      </c>
      <c r="I121" s="20" t="s">
        <v>2300</v>
      </c>
      <c r="J121" s="20" t="s">
        <v>37</v>
      </c>
      <c r="K121" s="20" t="s">
        <v>2301</v>
      </c>
      <c r="L121" s="20" t="s">
        <v>2302</v>
      </c>
      <c r="M121" s="20" t="s">
        <v>37</v>
      </c>
      <c r="N121" s="20" t="s">
        <v>2207</v>
      </c>
      <c r="O121" s="20" t="s">
        <v>37</v>
      </c>
      <c r="P121" s="20" t="s">
        <v>1025</v>
      </c>
    </row>
    <row r="122" ht="46" customHeight="1" spans="1:16" x14ac:dyDescent="0.25">
      <c r="A122" s="17" t="s">
        <v>2531</v>
      </c>
      <c r="B122" s="17" t="s">
        <v>50</v>
      </c>
      <c r="C122" s="17" t="s">
        <v>1034</v>
      </c>
      <c r="D122" s="17" t="s">
        <v>2532</v>
      </c>
      <c r="E122" s="17" t="s">
        <v>2299</v>
      </c>
      <c r="F122" s="17" t="s">
        <v>1036</v>
      </c>
      <c r="G122" s="17" t="s">
        <v>1038</v>
      </c>
      <c r="H122" s="17" t="s">
        <v>1025</v>
      </c>
      <c r="I122" s="17" t="s">
        <v>2300</v>
      </c>
      <c r="J122" s="17" t="s">
        <v>37</v>
      </c>
      <c r="K122" s="17" t="s">
        <v>2301</v>
      </c>
      <c r="L122" s="17" t="s">
        <v>2302</v>
      </c>
      <c r="M122" s="17" t="s">
        <v>37</v>
      </c>
      <c r="N122" s="17" t="s">
        <v>2207</v>
      </c>
      <c r="O122" s="17" t="s">
        <v>37</v>
      </c>
      <c r="P122" s="17" t="s">
        <v>1025</v>
      </c>
    </row>
    <row r="123" ht="46" customHeight="1" spans="1:16" x14ac:dyDescent="0.25">
      <c r="A123" s="20" t="s">
        <v>2533</v>
      </c>
      <c r="B123" s="20" t="s">
        <v>50</v>
      </c>
      <c r="C123" s="20" t="s">
        <v>1041</v>
      </c>
      <c r="D123" s="20" t="s">
        <v>2534</v>
      </c>
      <c r="E123" s="20" t="s">
        <v>2299</v>
      </c>
      <c r="F123" s="20" t="s">
        <v>1043</v>
      </c>
      <c r="G123" s="20" t="s">
        <v>1045</v>
      </c>
      <c r="H123" s="20" t="s">
        <v>1025</v>
      </c>
      <c r="I123" s="20" t="s">
        <v>2300</v>
      </c>
      <c r="J123" s="20" t="s">
        <v>37</v>
      </c>
      <c r="K123" s="20" t="s">
        <v>2301</v>
      </c>
      <c r="L123" s="20" t="s">
        <v>2302</v>
      </c>
      <c r="M123" s="20" t="s">
        <v>37</v>
      </c>
      <c r="N123" s="20" t="s">
        <v>2207</v>
      </c>
      <c r="O123" s="20" t="s">
        <v>37</v>
      </c>
      <c r="P123" s="20" t="s">
        <v>1025</v>
      </c>
    </row>
    <row r="124" ht="46" customHeight="1" spans="1:16" x14ac:dyDescent="0.25">
      <c r="A124" s="17" t="s">
        <v>2535</v>
      </c>
      <c r="B124" s="17" t="s">
        <v>50</v>
      </c>
      <c r="C124" s="17" t="s">
        <v>1048</v>
      </c>
      <c r="D124" s="17" t="s">
        <v>2536</v>
      </c>
      <c r="E124" s="17" t="s">
        <v>2299</v>
      </c>
      <c r="F124" s="17" t="s">
        <v>1050</v>
      </c>
      <c r="G124" s="17" t="s">
        <v>1052</v>
      </c>
      <c r="H124" s="17" t="s">
        <v>1025</v>
      </c>
      <c r="I124" s="17" t="s">
        <v>2300</v>
      </c>
      <c r="J124" s="17" t="s">
        <v>37</v>
      </c>
      <c r="K124" s="17" t="s">
        <v>2301</v>
      </c>
      <c r="L124" s="17" t="s">
        <v>2302</v>
      </c>
      <c r="M124" s="17" t="s">
        <v>37</v>
      </c>
      <c r="N124" s="17" t="s">
        <v>2207</v>
      </c>
      <c r="O124" s="17" t="s">
        <v>37</v>
      </c>
      <c r="P124" s="17" t="s">
        <v>1025</v>
      </c>
    </row>
    <row r="125" ht="46" customHeight="1" spans="1:16" x14ac:dyDescent="0.25">
      <c r="A125" s="20" t="s">
        <v>2537</v>
      </c>
      <c r="B125" s="20" t="s">
        <v>50</v>
      </c>
      <c r="C125" s="20" t="s">
        <v>1055</v>
      </c>
      <c r="D125" s="20" t="s">
        <v>2538</v>
      </c>
      <c r="E125" s="20" t="s">
        <v>2299</v>
      </c>
      <c r="F125" s="20" t="s">
        <v>1057</v>
      </c>
      <c r="G125" s="20" t="s">
        <v>1059</v>
      </c>
      <c r="H125" s="20" t="s">
        <v>1025</v>
      </c>
      <c r="I125" s="20" t="s">
        <v>2300</v>
      </c>
      <c r="J125" s="20" t="s">
        <v>37</v>
      </c>
      <c r="K125" s="20" t="s">
        <v>2301</v>
      </c>
      <c r="L125" s="20" t="s">
        <v>2302</v>
      </c>
      <c r="M125" s="20" t="s">
        <v>37</v>
      </c>
      <c r="N125" s="20" t="s">
        <v>2207</v>
      </c>
      <c r="O125" s="20" t="s">
        <v>37</v>
      </c>
      <c r="P125" s="20" t="s">
        <v>1025</v>
      </c>
    </row>
    <row r="126" ht="46" customHeight="1" spans="1:16" x14ac:dyDescent="0.25">
      <c r="A126" s="17" t="s">
        <v>2539</v>
      </c>
      <c r="B126" s="17" t="s">
        <v>50</v>
      </c>
      <c r="C126" s="17" t="s">
        <v>1062</v>
      </c>
      <c r="D126" s="17" t="s">
        <v>2540</v>
      </c>
      <c r="E126" s="17" t="s">
        <v>2299</v>
      </c>
      <c r="F126" s="17" t="s">
        <v>1064</v>
      </c>
      <c r="G126" s="17" t="s">
        <v>1066</v>
      </c>
      <c r="H126" s="17" t="s">
        <v>1025</v>
      </c>
      <c r="I126" s="17" t="s">
        <v>2300</v>
      </c>
      <c r="J126" s="17" t="s">
        <v>37</v>
      </c>
      <c r="K126" s="17" t="s">
        <v>2301</v>
      </c>
      <c r="L126" s="17" t="s">
        <v>2302</v>
      </c>
      <c r="M126" s="17" t="s">
        <v>37</v>
      </c>
      <c r="N126" s="17" t="s">
        <v>2207</v>
      </c>
      <c r="O126" s="17" t="s">
        <v>37</v>
      </c>
      <c r="P126" s="17" t="s">
        <v>1025</v>
      </c>
    </row>
    <row r="127" ht="46" customHeight="1" spans="1:16" x14ac:dyDescent="0.25">
      <c r="A127" s="20" t="s">
        <v>2541</v>
      </c>
      <c r="B127" s="20" t="s">
        <v>50</v>
      </c>
      <c r="C127" s="20" t="s">
        <v>1069</v>
      </c>
      <c r="D127" s="20" t="s">
        <v>2542</v>
      </c>
      <c r="E127" s="20" t="s">
        <v>2299</v>
      </c>
      <c r="F127" s="20" t="s">
        <v>1071</v>
      </c>
      <c r="G127" s="20" t="s">
        <v>1073</v>
      </c>
      <c r="H127" s="20" t="s">
        <v>1025</v>
      </c>
      <c r="I127" s="20" t="s">
        <v>2300</v>
      </c>
      <c r="J127" s="20" t="s">
        <v>37</v>
      </c>
      <c r="K127" s="20" t="s">
        <v>2301</v>
      </c>
      <c r="L127" s="20" t="s">
        <v>2302</v>
      </c>
      <c r="M127" s="20" t="s">
        <v>37</v>
      </c>
      <c r="N127" s="20" t="s">
        <v>2207</v>
      </c>
      <c r="O127" s="20" t="s">
        <v>37</v>
      </c>
      <c r="P127" s="20" t="s">
        <v>1025</v>
      </c>
    </row>
    <row r="128" ht="46" customHeight="1" spans="1:16" x14ac:dyDescent="0.25">
      <c r="A128" s="17" t="s">
        <v>2543</v>
      </c>
      <c r="B128" s="17" t="s">
        <v>50</v>
      </c>
      <c r="C128" s="17" t="s">
        <v>1076</v>
      </c>
      <c r="D128" s="17" t="s">
        <v>2544</v>
      </c>
      <c r="E128" s="17" t="s">
        <v>2299</v>
      </c>
      <c r="F128" s="17" t="s">
        <v>1078</v>
      </c>
      <c r="G128" s="17" t="s">
        <v>1080</v>
      </c>
      <c r="H128" s="17" t="s">
        <v>1025</v>
      </c>
      <c r="I128" s="17" t="s">
        <v>2300</v>
      </c>
      <c r="J128" s="17" t="s">
        <v>37</v>
      </c>
      <c r="K128" s="17" t="s">
        <v>2301</v>
      </c>
      <c r="L128" s="17" t="s">
        <v>2302</v>
      </c>
      <c r="M128" s="17" t="s">
        <v>37</v>
      </c>
      <c r="N128" s="17" t="s">
        <v>2207</v>
      </c>
      <c r="O128" s="17" t="s">
        <v>37</v>
      </c>
      <c r="P128" s="17" t="s">
        <v>1025</v>
      </c>
    </row>
    <row r="129" ht="46" customHeight="1" spans="1:16" x14ac:dyDescent="0.25">
      <c r="A129" s="20" t="s">
        <v>2545</v>
      </c>
      <c r="B129" s="20" t="s">
        <v>50</v>
      </c>
      <c r="C129" s="20" t="s">
        <v>1083</v>
      </c>
      <c r="D129" s="20" t="s">
        <v>2546</v>
      </c>
      <c r="E129" s="20" t="s">
        <v>2299</v>
      </c>
      <c r="F129" s="20" t="s">
        <v>1085</v>
      </c>
      <c r="G129" s="20" t="s">
        <v>1087</v>
      </c>
      <c r="H129" s="20" t="s">
        <v>1025</v>
      </c>
      <c r="I129" s="20" t="s">
        <v>2300</v>
      </c>
      <c r="J129" s="20" t="s">
        <v>37</v>
      </c>
      <c r="K129" s="20" t="s">
        <v>2301</v>
      </c>
      <c r="L129" s="20" t="s">
        <v>2302</v>
      </c>
      <c r="M129" s="20" t="s">
        <v>37</v>
      </c>
      <c r="N129" s="20" t="s">
        <v>2207</v>
      </c>
      <c r="O129" s="20" t="s">
        <v>37</v>
      </c>
      <c r="P129" s="20" t="s">
        <v>1025</v>
      </c>
    </row>
    <row r="130" ht="46" customHeight="1" spans="1:16" x14ac:dyDescent="0.25">
      <c r="A130" s="17" t="s">
        <v>2547</v>
      </c>
      <c r="B130" s="17" t="s">
        <v>50</v>
      </c>
      <c r="C130" s="17" t="s">
        <v>1090</v>
      </c>
      <c r="D130" s="17" t="s">
        <v>2548</v>
      </c>
      <c r="E130" s="17" t="s">
        <v>2299</v>
      </c>
      <c r="F130" s="17" t="s">
        <v>1092</v>
      </c>
      <c r="G130" s="17" t="s">
        <v>1094</v>
      </c>
      <c r="H130" s="17" t="s">
        <v>1025</v>
      </c>
      <c r="I130" s="17" t="s">
        <v>2300</v>
      </c>
      <c r="J130" s="17" t="s">
        <v>37</v>
      </c>
      <c r="K130" s="17" t="s">
        <v>2301</v>
      </c>
      <c r="L130" s="17" t="s">
        <v>2302</v>
      </c>
      <c r="M130" s="17" t="s">
        <v>37</v>
      </c>
      <c r="N130" s="17" t="s">
        <v>2207</v>
      </c>
      <c r="O130" s="17" t="s">
        <v>37</v>
      </c>
      <c r="P130" s="17" t="s">
        <v>1025</v>
      </c>
    </row>
    <row r="131" ht="46" customHeight="1" spans="1:16" x14ac:dyDescent="0.25">
      <c r="A131" s="20" t="s">
        <v>2549</v>
      </c>
      <c r="B131" s="20" t="s">
        <v>50</v>
      </c>
      <c r="C131" s="20" t="s">
        <v>1097</v>
      </c>
      <c r="D131" s="20" t="s">
        <v>2550</v>
      </c>
      <c r="E131" s="20" t="s">
        <v>2299</v>
      </c>
      <c r="F131" s="20" t="s">
        <v>1099</v>
      </c>
      <c r="G131" s="20" t="s">
        <v>1101</v>
      </c>
      <c r="H131" s="20" t="s">
        <v>1025</v>
      </c>
      <c r="I131" s="20" t="s">
        <v>2300</v>
      </c>
      <c r="J131" s="20" t="s">
        <v>37</v>
      </c>
      <c r="K131" s="20" t="s">
        <v>2301</v>
      </c>
      <c r="L131" s="20" t="s">
        <v>2302</v>
      </c>
      <c r="M131" s="20" t="s">
        <v>37</v>
      </c>
      <c r="N131" s="20" t="s">
        <v>2207</v>
      </c>
      <c r="O131" s="20" t="s">
        <v>37</v>
      </c>
      <c r="P131" s="20" t="s">
        <v>1025</v>
      </c>
    </row>
    <row r="132" ht="46" customHeight="1" spans="1:16" x14ac:dyDescent="0.25">
      <c r="A132" s="17" t="s">
        <v>2551</v>
      </c>
      <c r="B132" s="17" t="s">
        <v>51</v>
      </c>
      <c r="C132" s="17" t="s">
        <v>1104</v>
      </c>
      <c r="D132" s="17" t="s">
        <v>2552</v>
      </c>
      <c r="E132" s="17" t="s">
        <v>2299</v>
      </c>
      <c r="F132" s="17" t="s">
        <v>1106</v>
      </c>
      <c r="G132" s="17" t="s">
        <v>1108</v>
      </c>
      <c r="H132" s="17" t="s">
        <v>52</v>
      </c>
      <c r="I132" s="17" t="s">
        <v>2300</v>
      </c>
      <c r="J132" s="17" t="s">
        <v>37</v>
      </c>
      <c r="K132" s="17" t="s">
        <v>2301</v>
      </c>
      <c r="L132" s="17" t="s">
        <v>2302</v>
      </c>
      <c r="M132" s="17" t="s">
        <v>37</v>
      </c>
      <c r="N132" s="17" t="s">
        <v>2207</v>
      </c>
      <c r="O132" s="17" t="s">
        <v>37</v>
      </c>
      <c r="P132" s="17" t="s">
        <v>52</v>
      </c>
    </row>
    <row r="133" ht="46" customHeight="1" spans="1:16" x14ac:dyDescent="0.25">
      <c r="A133" s="20" t="s">
        <v>2553</v>
      </c>
      <c r="B133" s="20" t="s">
        <v>51</v>
      </c>
      <c r="C133" s="20" t="s">
        <v>1110</v>
      </c>
      <c r="D133" s="20" t="s">
        <v>2554</v>
      </c>
      <c r="E133" s="20" t="s">
        <v>2299</v>
      </c>
      <c r="F133" s="20" t="s">
        <v>1112</v>
      </c>
      <c r="G133" s="20" t="s">
        <v>1114</v>
      </c>
      <c r="H133" s="20" t="s">
        <v>52</v>
      </c>
      <c r="I133" s="20" t="s">
        <v>2300</v>
      </c>
      <c r="J133" s="20" t="s">
        <v>37</v>
      </c>
      <c r="K133" s="20" t="s">
        <v>2301</v>
      </c>
      <c r="L133" s="20" t="s">
        <v>2302</v>
      </c>
      <c r="M133" s="20" t="s">
        <v>37</v>
      </c>
      <c r="N133" s="20" t="s">
        <v>2207</v>
      </c>
      <c r="O133" s="20" t="s">
        <v>37</v>
      </c>
      <c r="P133" s="20" t="s">
        <v>52</v>
      </c>
    </row>
    <row r="134" ht="46" customHeight="1" spans="1:16" x14ac:dyDescent="0.25">
      <c r="A134" s="17" t="s">
        <v>2555</v>
      </c>
      <c r="B134" s="17" t="s">
        <v>51</v>
      </c>
      <c r="C134" s="17" t="s">
        <v>1117</v>
      </c>
      <c r="D134" s="17" t="s">
        <v>2556</v>
      </c>
      <c r="E134" s="17" t="s">
        <v>2299</v>
      </c>
      <c r="F134" s="17" t="s">
        <v>1119</v>
      </c>
      <c r="G134" s="17" t="s">
        <v>1121</v>
      </c>
      <c r="H134" s="17" t="s">
        <v>52</v>
      </c>
      <c r="I134" s="17" t="s">
        <v>2300</v>
      </c>
      <c r="J134" s="17" t="s">
        <v>37</v>
      </c>
      <c r="K134" s="17" t="s">
        <v>2301</v>
      </c>
      <c r="L134" s="17" t="s">
        <v>2302</v>
      </c>
      <c r="M134" s="17" t="s">
        <v>37</v>
      </c>
      <c r="N134" s="17" t="s">
        <v>2207</v>
      </c>
      <c r="O134" s="17" t="s">
        <v>37</v>
      </c>
      <c r="P134" s="17" t="s">
        <v>52</v>
      </c>
    </row>
    <row r="135" ht="46" customHeight="1" spans="1:16" x14ac:dyDescent="0.25">
      <c r="A135" s="20" t="s">
        <v>2557</v>
      </c>
      <c r="B135" s="20" t="s">
        <v>51</v>
      </c>
      <c r="C135" s="20" t="s">
        <v>1124</v>
      </c>
      <c r="D135" s="20" t="s">
        <v>2558</v>
      </c>
      <c r="E135" s="20" t="s">
        <v>2299</v>
      </c>
      <c r="F135" s="20" t="s">
        <v>1126</v>
      </c>
      <c r="G135" s="20" t="s">
        <v>1128</v>
      </c>
      <c r="H135" s="20" t="s">
        <v>52</v>
      </c>
      <c r="I135" s="20" t="s">
        <v>2300</v>
      </c>
      <c r="J135" s="20" t="s">
        <v>37</v>
      </c>
      <c r="K135" s="20" t="s">
        <v>2301</v>
      </c>
      <c r="L135" s="20" t="s">
        <v>2302</v>
      </c>
      <c r="M135" s="20" t="s">
        <v>37</v>
      </c>
      <c r="N135" s="20" t="s">
        <v>2207</v>
      </c>
      <c r="O135" s="20" t="s">
        <v>37</v>
      </c>
      <c r="P135" s="20" t="s">
        <v>52</v>
      </c>
    </row>
    <row r="136" ht="46" customHeight="1" spans="1:16" x14ac:dyDescent="0.25">
      <c r="A136" s="17" t="s">
        <v>2559</v>
      </c>
      <c r="B136" s="17" t="s">
        <v>51</v>
      </c>
      <c r="C136" s="17" t="s">
        <v>1131</v>
      </c>
      <c r="D136" s="17" t="s">
        <v>2560</v>
      </c>
      <c r="E136" s="17" t="s">
        <v>2299</v>
      </c>
      <c r="F136" s="17" t="s">
        <v>1133</v>
      </c>
      <c r="G136" s="17" t="s">
        <v>1135</v>
      </c>
      <c r="H136" s="17" t="s">
        <v>52</v>
      </c>
      <c r="I136" s="17" t="s">
        <v>2300</v>
      </c>
      <c r="J136" s="17" t="s">
        <v>37</v>
      </c>
      <c r="K136" s="17" t="s">
        <v>2301</v>
      </c>
      <c r="L136" s="17" t="s">
        <v>2302</v>
      </c>
      <c r="M136" s="17" t="s">
        <v>37</v>
      </c>
      <c r="N136" s="17" t="s">
        <v>2207</v>
      </c>
      <c r="O136" s="17" t="s">
        <v>37</v>
      </c>
      <c r="P136" s="17" t="s">
        <v>52</v>
      </c>
    </row>
    <row r="137" ht="46" customHeight="1" spans="1:16" x14ac:dyDescent="0.25">
      <c r="A137" s="20" t="s">
        <v>2561</v>
      </c>
      <c r="B137" s="20" t="s">
        <v>51</v>
      </c>
      <c r="C137" s="20" t="s">
        <v>1138</v>
      </c>
      <c r="D137" s="20" t="s">
        <v>2562</v>
      </c>
      <c r="E137" s="20" t="s">
        <v>2299</v>
      </c>
      <c r="F137" s="20" t="s">
        <v>1140</v>
      </c>
      <c r="G137" s="20" t="s">
        <v>1142</v>
      </c>
      <c r="H137" s="20" t="s">
        <v>52</v>
      </c>
      <c r="I137" s="20" t="s">
        <v>2300</v>
      </c>
      <c r="J137" s="20" t="s">
        <v>37</v>
      </c>
      <c r="K137" s="20" t="s">
        <v>2301</v>
      </c>
      <c r="L137" s="20" t="s">
        <v>2302</v>
      </c>
      <c r="M137" s="20" t="s">
        <v>37</v>
      </c>
      <c r="N137" s="20" t="s">
        <v>2207</v>
      </c>
      <c r="O137" s="20" t="s">
        <v>37</v>
      </c>
      <c r="P137" s="20" t="s">
        <v>52</v>
      </c>
    </row>
    <row r="138" ht="46" customHeight="1" spans="1:16" x14ac:dyDescent="0.25">
      <c r="A138" s="17" t="s">
        <v>2563</v>
      </c>
      <c r="B138" s="17" t="s">
        <v>51</v>
      </c>
      <c r="C138" s="17" t="s">
        <v>1145</v>
      </c>
      <c r="D138" s="17" t="s">
        <v>2564</v>
      </c>
      <c r="E138" s="17" t="s">
        <v>2299</v>
      </c>
      <c r="F138" s="17" t="s">
        <v>1147</v>
      </c>
      <c r="G138" s="17" t="s">
        <v>1149</v>
      </c>
      <c r="H138" s="17" t="s">
        <v>52</v>
      </c>
      <c r="I138" s="17" t="s">
        <v>2300</v>
      </c>
      <c r="J138" s="17" t="s">
        <v>37</v>
      </c>
      <c r="K138" s="17" t="s">
        <v>2301</v>
      </c>
      <c r="L138" s="17" t="s">
        <v>2302</v>
      </c>
      <c r="M138" s="17" t="s">
        <v>37</v>
      </c>
      <c r="N138" s="17" t="s">
        <v>2207</v>
      </c>
      <c r="O138" s="17" t="s">
        <v>37</v>
      </c>
      <c r="P138" s="17" t="s">
        <v>52</v>
      </c>
    </row>
    <row r="139" ht="46" customHeight="1" spans="1:16" x14ac:dyDescent="0.25">
      <c r="A139" s="20" t="s">
        <v>2565</v>
      </c>
      <c r="B139" s="20" t="s">
        <v>51</v>
      </c>
      <c r="C139" s="20" t="s">
        <v>1152</v>
      </c>
      <c r="D139" s="20" t="s">
        <v>2566</v>
      </c>
      <c r="E139" s="20" t="s">
        <v>2299</v>
      </c>
      <c r="F139" s="20" t="s">
        <v>1154</v>
      </c>
      <c r="G139" s="20" t="s">
        <v>1156</v>
      </c>
      <c r="H139" s="20" t="s">
        <v>52</v>
      </c>
      <c r="I139" s="20" t="s">
        <v>2300</v>
      </c>
      <c r="J139" s="20" t="s">
        <v>37</v>
      </c>
      <c r="K139" s="20" t="s">
        <v>2301</v>
      </c>
      <c r="L139" s="20" t="s">
        <v>2302</v>
      </c>
      <c r="M139" s="20" t="s">
        <v>37</v>
      </c>
      <c r="N139" s="20" t="s">
        <v>2207</v>
      </c>
      <c r="O139" s="20" t="s">
        <v>37</v>
      </c>
      <c r="P139" s="20" t="s">
        <v>52</v>
      </c>
    </row>
    <row r="140" ht="46" customHeight="1" spans="1:16" x14ac:dyDescent="0.25">
      <c r="A140" s="17" t="s">
        <v>2567</v>
      </c>
      <c r="B140" s="17" t="s">
        <v>51</v>
      </c>
      <c r="C140" s="17" t="s">
        <v>1159</v>
      </c>
      <c r="D140" s="17" t="s">
        <v>2568</v>
      </c>
      <c r="E140" s="17" t="s">
        <v>2299</v>
      </c>
      <c r="F140" s="17" t="s">
        <v>1161</v>
      </c>
      <c r="G140" s="17" t="s">
        <v>1163</v>
      </c>
      <c r="H140" s="17" t="s">
        <v>52</v>
      </c>
      <c r="I140" s="17" t="s">
        <v>2300</v>
      </c>
      <c r="J140" s="17" t="s">
        <v>37</v>
      </c>
      <c r="K140" s="17" t="s">
        <v>2301</v>
      </c>
      <c r="L140" s="17" t="s">
        <v>2302</v>
      </c>
      <c r="M140" s="17" t="s">
        <v>37</v>
      </c>
      <c r="N140" s="17" t="s">
        <v>2207</v>
      </c>
      <c r="O140" s="17" t="s">
        <v>37</v>
      </c>
      <c r="P140" s="17" t="s">
        <v>52</v>
      </c>
    </row>
    <row r="141" ht="46" customHeight="1" spans="1:16" x14ac:dyDescent="0.25">
      <c r="A141" s="20" t="s">
        <v>2569</v>
      </c>
      <c r="B141" s="20" t="s">
        <v>51</v>
      </c>
      <c r="C141" s="20" t="s">
        <v>1166</v>
      </c>
      <c r="D141" s="20" t="s">
        <v>2570</v>
      </c>
      <c r="E141" s="20" t="s">
        <v>2299</v>
      </c>
      <c r="F141" s="20" t="s">
        <v>1168</v>
      </c>
      <c r="G141" s="20" t="s">
        <v>1170</v>
      </c>
      <c r="H141" s="20" t="s">
        <v>52</v>
      </c>
      <c r="I141" s="20" t="s">
        <v>2300</v>
      </c>
      <c r="J141" s="20" t="s">
        <v>37</v>
      </c>
      <c r="K141" s="20" t="s">
        <v>2301</v>
      </c>
      <c r="L141" s="20" t="s">
        <v>2302</v>
      </c>
      <c r="M141" s="20" t="s">
        <v>37</v>
      </c>
      <c r="N141" s="20" t="s">
        <v>2207</v>
      </c>
      <c r="O141" s="20" t="s">
        <v>37</v>
      </c>
      <c r="P141" s="20" t="s">
        <v>52</v>
      </c>
    </row>
    <row r="142" ht="46" customHeight="1" spans="1:16" x14ac:dyDescent="0.25">
      <c r="A142" s="17" t="s">
        <v>2571</v>
      </c>
      <c r="B142" s="17" t="s">
        <v>51</v>
      </c>
      <c r="C142" s="17" t="s">
        <v>1173</v>
      </c>
      <c r="D142" s="17" t="s">
        <v>2572</v>
      </c>
      <c r="E142" s="17" t="s">
        <v>2299</v>
      </c>
      <c r="F142" s="17" t="s">
        <v>1175</v>
      </c>
      <c r="G142" s="17" t="s">
        <v>1177</v>
      </c>
      <c r="H142" s="17" t="s">
        <v>52</v>
      </c>
      <c r="I142" s="17" t="s">
        <v>2300</v>
      </c>
      <c r="J142" s="17" t="s">
        <v>37</v>
      </c>
      <c r="K142" s="17" t="s">
        <v>2301</v>
      </c>
      <c r="L142" s="17" t="s">
        <v>2302</v>
      </c>
      <c r="M142" s="17" t="s">
        <v>37</v>
      </c>
      <c r="N142" s="17" t="s">
        <v>2207</v>
      </c>
      <c r="O142" s="17" t="s">
        <v>37</v>
      </c>
      <c r="P142" s="17" t="s">
        <v>52</v>
      </c>
    </row>
    <row r="143" ht="46" customHeight="1" spans="1:16" x14ac:dyDescent="0.25">
      <c r="A143" s="20" t="s">
        <v>2573</v>
      </c>
      <c r="B143" s="20" t="s">
        <v>51</v>
      </c>
      <c r="C143" s="20" t="s">
        <v>1180</v>
      </c>
      <c r="D143" s="20" t="s">
        <v>2574</v>
      </c>
      <c r="E143" s="20" t="s">
        <v>2299</v>
      </c>
      <c r="F143" s="20" t="s">
        <v>1182</v>
      </c>
      <c r="G143" s="20" t="s">
        <v>1184</v>
      </c>
      <c r="H143" s="20" t="s">
        <v>52</v>
      </c>
      <c r="I143" s="20" t="s">
        <v>2300</v>
      </c>
      <c r="J143" s="20" t="s">
        <v>37</v>
      </c>
      <c r="K143" s="20" t="s">
        <v>2301</v>
      </c>
      <c r="L143" s="20" t="s">
        <v>2302</v>
      </c>
      <c r="M143" s="20" t="s">
        <v>37</v>
      </c>
      <c r="N143" s="20" t="s">
        <v>2207</v>
      </c>
      <c r="O143" s="20" t="s">
        <v>37</v>
      </c>
      <c r="P143" s="20" t="s">
        <v>52</v>
      </c>
    </row>
    <row r="144" ht="46" customHeight="1" spans="1:16" x14ac:dyDescent="0.25">
      <c r="A144" s="17" t="s">
        <v>2575</v>
      </c>
      <c r="B144" s="17" t="s">
        <v>52</v>
      </c>
      <c r="C144" s="17" t="s">
        <v>1187</v>
      </c>
      <c r="D144" s="17" t="s">
        <v>2576</v>
      </c>
      <c r="E144" s="17" t="s">
        <v>2299</v>
      </c>
      <c r="F144" s="17" t="s">
        <v>1189</v>
      </c>
      <c r="G144" s="17" t="s">
        <v>1191</v>
      </c>
      <c r="H144" s="17" t="s">
        <v>52</v>
      </c>
      <c r="I144" s="17" t="s">
        <v>2300</v>
      </c>
      <c r="J144" s="17" t="s">
        <v>37</v>
      </c>
      <c r="K144" s="17" t="s">
        <v>2301</v>
      </c>
      <c r="L144" s="17" t="s">
        <v>2302</v>
      </c>
      <c r="M144" s="17" t="s">
        <v>37</v>
      </c>
      <c r="N144" s="17" t="s">
        <v>2207</v>
      </c>
      <c r="O144" s="17" t="s">
        <v>37</v>
      </c>
      <c r="P144" s="17" t="s">
        <v>52</v>
      </c>
    </row>
    <row r="145" ht="46" customHeight="1" spans="1:16" x14ac:dyDescent="0.25">
      <c r="A145" s="20" t="s">
        <v>2577</v>
      </c>
      <c r="B145" s="20" t="s">
        <v>52</v>
      </c>
      <c r="C145" s="20" t="s">
        <v>1193</v>
      </c>
      <c r="D145" s="20" t="s">
        <v>2578</v>
      </c>
      <c r="E145" s="20" t="s">
        <v>2299</v>
      </c>
      <c r="F145" s="20" t="s">
        <v>1195</v>
      </c>
      <c r="G145" s="20" t="s">
        <v>1197</v>
      </c>
      <c r="H145" s="20" t="s">
        <v>52</v>
      </c>
      <c r="I145" s="20" t="s">
        <v>2300</v>
      </c>
      <c r="J145" s="20" t="s">
        <v>37</v>
      </c>
      <c r="K145" s="20" t="s">
        <v>2301</v>
      </c>
      <c r="L145" s="20" t="s">
        <v>2302</v>
      </c>
      <c r="M145" s="20" t="s">
        <v>37</v>
      </c>
      <c r="N145" s="20" t="s">
        <v>2207</v>
      </c>
      <c r="O145" s="20" t="s">
        <v>37</v>
      </c>
      <c r="P145" s="20" t="s">
        <v>52</v>
      </c>
    </row>
    <row r="146" ht="46" customHeight="1" spans="1:16" x14ac:dyDescent="0.25">
      <c r="A146" s="17" t="s">
        <v>2579</v>
      </c>
      <c r="B146" s="17" t="s">
        <v>52</v>
      </c>
      <c r="C146" s="17" t="s">
        <v>1200</v>
      </c>
      <c r="D146" s="17" t="s">
        <v>2580</v>
      </c>
      <c r="E146" s="17" t="s">
        <v>2299</v>
      </c>
      <c r="F146" s="17" t="s">
        <v>1202</v>
      </c>
      <c r="G146" s="17" t="s">
        <v>1204</v>
      </c>
      <c r="H146" s="17" t="s">
        <v>52</v>
      </c>
      <c r="I146" s="17" t="s">
        <v>2300</v>
      </c>
      <c r="J146" s="17" t="s">
        <v>37</v>
      </c>
      <c r="K146" s="17" t="s">
        <v>2301</v>
      </c>
      <c r="L146" s="17" t="s">
        <v>2302</v>
      </c>
      <c r="M146" s="17" t="s">
        <v>37</v>
      </c>
      <c r="N146" s="17" t="s">
        <v>2207</v>
      </c>
      <c r="O146" s="17" t="s">
        <v>37</v>
      </c>
      <c r="P146" s="17" t="s">
        <v>52</v>
      </c>
    </row>
    <row r="147" ht="46" customHeight="1" spans="1:16" x14ac:dyDescent="0.25">
      <c r="A147" s="20" t="s">
        <v>2581</v>
      </c>
      <c r="B147" s="20" t="s">
        <v>52</v>
      </c>
      <c r="C147" s="20" t="s">
        <v>1207</v>
      </c>
      <c r="D147" s="20" t="s">
        <v>2582</v>
      </c>
      <c r="E147" s="20" t="s">
        <v>2299</v>
      </c>
      <c r="F147" s="20" t="s">
        <v>1209</v>
      </c>
      <c r="G147" s="20" t="s">
        <v>1211</v>
      </c>
      <c r="H147" s="20" t="s">
        <v>52</v>
      </c>
      <c r="I147" s="20" t="s">
        <v>2300</v>
      </c>
      <c r="J147" s="20" t="s">
        <v>37</v>
      </c>
      <c r="K147" s="20" t="s">
        <v>2301</v>
      </c>
      <c r="L147" s="20" t="s">
        <v>2302</v>
      </c>
      <c r="M147" s="20" t="s">
        <v>37</v>
      </c>
      <c r="N147" s="20" t="s">
        <v>2207</v>
      </c>
      <c r="O147" s="20" t="s">
        <v>37</v>
      </c>
      <c r="P147" s="20" t="s">
        <v>52</v>
      </c>
    </row>
    <row r="148" ht="46" customHeight="1" spans="1:16" x14ac:dyDescent="0.25">
      <c r="A148" s="17" t="s">
        <v>2583</v>
      </c>
      <c r="B148" s="17" t="s">
        <v>52</v>
      </c>
      <c r="C148" s="17" t="s">
        <v>1214</v>
      </c>
      <c r="D148" s="17" t="s">
        <v>2584</v>
      </c>
      <c r="E148" s="17" t="s">
        <v>2299</v>
      </c>
      <c r="F148" s="17" t="s">
        <v>1216</v>
      </c>
      <c r="G148" s="17" t="s">
        <v>1218</v>
      </c>
      <c r="H148" s="17" t="s">
        <v>52</v>
      </c>
      <c r="I148" s="17" t="s">
        <v>2300</v>
      </c>
      <c r="J148" s="17" t="s">
        <v>37</v>
      </c>
      <c r="K148" s="17" t="s">
        <v>2301</v>
      </c>
      <c r="L148" s="17" t="s">
        <v>2302</v>
      </c>
      <c r="M148" s="17" t="s">
        <v>37</v>
      </c>
      <c r="N148" s="17" t="s">
        <v>2207</v>
      </c>
      <c r="O148" s="17" t="s">
        <v>37</v>
      </c>
      <c r="P148" s="17" t="s">
        <v>52</v>
      </c>
    </row>
    <row r="149" ht="46" customHeight="1" spans="1:16" x14ac:dyDescent="0.25">
      <c r="A149" s="20" t="s">
        <v>2585</v>
      </c>
      <c r="B149" s="20" t="s">
        <v>52</v>
      </c>
      <c r="C149" s="20" t="s">
        <v>1221</v>
      </c>
      <c r="D149" s="20" t="s">
        <v>2586</v>
      </c>
      <c r="E149" s="20" t="s">
        <v>2299</v>
      </c>
      <c r="F149" s="20" t="s">
        <v>1223</v>
      </c>
      <c r="G149" s="20" t="s">
        <v>1225</v>
      </c>
      <c r="H149" s="20" t="s">
        <v>52</v>
      </c>
      <c r="I149" s="20" t="s">
        <v>2300</v>
      </c>
      <c r="J149" s="20" t="s">
        <v>37</v>
      </c>
      <c r="K149" s="20" t="s">
        <v>2301</v>
      </c>
      <c r="L149" s="20" t="s">
        <v>2302</v>
      </c>
      <c r="M149" s="20" t="s">
        <v>37</v>
      </c>
      <c r="N149" s="20" t="s">
        <v>2207</v>
      </c>
      <c r="O149" s="20" t="s">
        <v>37</v>
      </c>
      <c r="P149" s="20" t="s">
        <v>52</v>
      </c>
    </row>
    <row r="150" ht="46" customHeight="1" spans="1:16" x14ac:dyDescent="0.25">
      <c r="A150" s="17" t="s">
        <v>2587</v>
      </c>
      <c r="B150" s="17" t="s">
        <v>52</v>
      </c>
      <c r="C150" s="17" t="s">
        <v>1228</v>
      </c>
      <c r="D150" s="17" t="s">
        <v>2588</v>
      </c>
      <c r="E150" s="17" t="s">
        <v>2299</v>
      </c>
      <c r="F150" s="17" t="s">
        <v>1230</v>
      </c>
      <c r="G150" s="17" t="s">
        <v>1232</v>
      </c>
      <c r="H150" s="17" t="s">
        <v>52</v>
      </c>
      <c r="I150" s="17" t="s">
        <v>2300</v>
      </c>
      <c r="J150" s="17" t="s">
        <v>37</v>
      </c>
      <c r="K150" s="17" t="s">
        <v>2301</v>
      </c>
      <c r="L150" s="17" t="s">
        <v>2302</v>
      </c>
      <c r="M150" s="17" t="s">
        <v>37</v>
      </c>
      <c r="N150" s="17" t="s">
        <v>2207</v>
      </c>
      <c r="O150" s="17" t="s">
        <v>37</v>
      </c>
      <c r="P150" s="17" t="s">
        <v>52</v>
      </c>
    </row>
    <row r="151" ht="46" customHeight="1" spans="1:16" x14ac:dyDescent="0.25">
      <c r="A151" s="20" t="s">
        <v>2589</v>
      </c>
      <c r="B151" s="20" t="s">
        <v>52</v>
      </c>
      <c r="C151" s="20" t="s">
        <v>1235</v>
      </c>
      <c r="D151" s="20" t="s">
        <v>2590</v>
      </c>
      <c r="E151" s="20" t="s">
        <v>2299</v>
      </c>
      <c r="F151" s="20" t="s">
        <v>1237</v>
      </c>
      <c r="G151" s="20" t="s">
        <v>1239</v>
      </c>
      <c r="H151" s="20" t="s">
        <v>52</v>
      </c>
      <c r="I151" s="20" t="s">
        <v>2300</v>
      </c>
      <c r="J151" s="20" t="s">
        <v>37</v>
      </c>
      <c r="K151" s="20" t="s">
        <v>2301</v>
      </c>
      <c r="L151" s="20" t="s">
        <v>2302</v>
      </c>
      <c r="M151" s="20" t="s">
        <v>37</v>
      </c>
      <c r="N151" s="20" t="s">
        <v>2207</v>
      </c>
      <c r="O151" s="20" t="s">
        <v>37</v>
      </c>
      <c r="P151" s="20" t="s">
        <v>52</v>
      </c>
    </row>
    <row r="152" ht="46" customHeight="1" spans="1:16" x14ac:dyDescent="0.25">
      <c r="A152" s="17" t="s">
        <v>2591</v>
      </c>
      <c r="B152" s="17" t="s">
        <v>52</v>
      </c>
      <c r="C152" s="17" t="s">
        <v>1242</v>
      </c>
      <c r="D152" s="17" t="s">
        <v>2592</v>
      </c>
      <c r="E152" s="17" t="s">
        <v>2299</v>
      </c>
      <c r="F152" s="17" t="s">
        <v>1244</v>
      </c>
      <c r="G152" s="17" t="s">
        <v>1246</v>
      </c>
      <c r="H152" s="17" t="s">
        <v>52</v>
      </c>
      <c r="I152" s="17" t="s">
        <v>2300</v>
      </c>
      <c r="J152" s="17" t="s">
        <v>37</v>
      </c>
      <c r="K152" s="17" t="s">
        <v>2301</v>
      </c>
      <c r="L152" s="17" t="s">
        <v>2302</v>
      </c>
      <c r="M152" s="17" t="s">
        <v>37</v>
      </c>
      <c r="N152" s="17" t="s">
        <v>2207</v>
      </c>
      <c r="O152" s="17" t="s">
        <v>37</v>
      </c>
      <c r="P152" s="17" t="s">
        <v>52</v>
      </c>
    </row>
    <row r="153" ht="46" customHeight="1" spans="1:16" x14ac:dyDescent="0.25">
      <c r="A153" s="20" t="s">
        <v>2593</v>
      </c>
      <c r="B153" s="20" t="s">
        <v>52</v>
      </c>
      <c r="C153" s="20" t="s">
        <v>1249</v>
      </c>
      <c r="D153" s="20" t="s">
        <v>2594</v>
      </c>
      <c r="E153" s="20" t="s">
        <v>2299</v>
      </c>
      <c r="F153" s="20" t="s">
        <v>1251</v>
      </c>
      <c r="G153" s="20" t="s">
        <v>1253</v>
      </c>
      <c r="H153" s="20" t="s">
        <v>52</v>
      </c>
      <c r="I153" s="20" t="s">
        <v>2300</v>
      </c>
      <c r="J153" s="20" t="s">
        <v>37</v>
      </c>
      <c r="K153" s="20" t="s">
        <v>2301</v>
      </c>
      <c r="L153" s="20" t="s">
        <v>2302</v>
      </c>
      <c r="M153" s="20" t="s">
        <v>37</v>
      </c>
      <c r="N153" s="20" t="s">
        <v>2207</v>
      </c>
      <c r="O153" s="20" t="s">
        <v>37</v>
      </c>
      <c r="P153" s="20" t="s">
        <v>52</v>
      </c>
    </row>
    <row r="154" ht="46" customHeight="1" spans="1:16" x14ac:dyDescent="0.25">
      <c r="A154" s="17" t="s">
        <v>2595</v>
      </c>
      <c r="B154" s="17" t="s">
        <v>52</v>
      </c>
      <c r="C154" s="17" t="s">
        <v>1256</v>
      </c>
      <c r="D154" s="17" t="s">
        <v>2596</v>
      </c>
      <c r="E154" s="17" t="s">
        <v>2299</v>
      </c>
      <c r="F154" s="17" t="s">
        <v>1258</v>
      </c>
      <c r="G154" s="17" t="s">
        <v>1260</v>
      </c>
      <c r="H154" s="17" t="s">
        <v>52</v>
      </c>
      <c r="I154" s="17" t="s">
        <v>2300</v>
      </c>
      <c r="J154" s="17" t="s">
        <v>37</v>
      </c>
      <c r="K154" s="17" t="s">
        <v>2301</v>
      </c>
      <c r="L154" s="17" t="s">
        <v>2302</v>
      </c>
      <c r="M154" s="17" t="s">
        <v>37</v>
      </c>
      <c r="N154" s="17" t="s">
        <v>2207</v>
      </c>
      <c r="O154" s="17" t="s">
        <v>37</v>
      </c>
      <c r="P154" s="17" t="s">
        <v>52</v>
      </c>
    </row>
    <row r="155" ht="46" customHeight="1" spans="1:16" x14ac:dyDescent="0.25">
      <c r="A155" s="20" t="s">
        <v>2597</v>
      </c>
      <c r="B155" s="20" t="s">
        <v>53</v>
      </c>
      <c r="C155" s="20" t="s">
        <v>1263</v>
      </c>
      <c r="D155" s="20" t="s">
        <v>2598</v>
      </c>
      <c r="E155" s="20" t="s">
        <v>2299</v>
      </c>
      <c r="F155" s="20" t="s">
        <v>1265</v>
      </c>
      <c r="G155" s="20" t="s">
        <v>1267</v>
      </c>
      <c r="H155" s="20" t="s">
        <v>53</v>
      </c>
      <c r="I155" s="20" t="s">
        <v>2300</v>
      </c>
      <c r="J155" s="20" t="s">
        <v>37</v>
      </c>
      <c r="K155" s="20" t="s">
        <v>2301</v>
      </c>
      <c r="L155" s="20" t="s">
        <v>2302</v>
      </c>
      <c r="M155" s="20" t="s">
        <v>37</v>
      </c>
      <c r="N155" s="20" t="s">
        <v>2207</v>
      </c>
      <c r="O155" s="20" t="s">
        <v>37</v>
      </c>
      <c r="P155" s="20" t="s">
        <v>53</v>
      </c>
    </row>
    <row r="156" ht="46" customHeight="1" spans="1:16" x14ac:dyDescent="0.25">
      <c r="A156" s="17" t="s">
        <v>2599</v>
      </c>
      <c r="B156" s="17" t="s">
        <v>53</v>
      </c>
      <c r="C156" s="17" t="s">
        <v>1269</v>
      </c>
      <c r="D156" s="17" t="s">
        <v>2600</v>
      </c>
      <c r="E156" s="17" t="s">
        <v>2299</v>
      </c>
      <c r="F156" s="17" t="s">
        <v>1271</v>
      </c>
      <c r="G156" s="17" t="s">
        <v>1273</v>
      </c>
      <c r="H156" s="17" t="s">
        <v>53</v>
      </c>
      <c r="I156" s="17" t="s">
        <v>2300</v>
      </c>
      <c r="J156" s="17" t="s">
        <v>37</v>
      </c>
      <c r="K156" s="17" t="s">
        <v>2301</v>
      </c>
      <c r="L156" s="17" t="s">
        <v>2302</v>
      </c>
      <c r="M156" s="17" t="s">
        <v>37</v>
      </c>
      <c r="N156" s="17" t="s">
        <v>2207</v>
      </c>
      <c r="O156" s="17" t="s">
        <v>37</v>
      </c>
      <c r="P156" s="17" t="s">
        <v>53</v>
      </c>
    </row>
    <row r="157" ht="46" customHeight="1" spans="1:16" x14ac:dyDescent="0.25">
      <c r="A157" s="20" t="s">
        <v>2601</v>
      </c>
      <c r="B157" s="20" t="s">
        <v>53</v>
      </c>
      <c r="C157" s="20" t="s">
        <v>1276</v>
      </c>
      <c r="D157" s="20" t="s">
        <v>2602</v>
      </c>
      <c r="E157" s="20" t="s">
        <v>2299</v>
      </c>
      <c r="F157" s="20" t="s">
        <v>1278</v>
      </c>
      <c r="G157" s="20" t="s">
        <v>1280</v>
      </c>
      <c r="H157" s="20" t="s">
        <v>53</v>
      </c>
      <c r="I157" s="20" t="s">
        <v>2300</v>
      </c>
      <c r="J157" s="20" t="s">
        <v>37</v>
      </c>
      <c r="K157" s="20" t="s">
        <v>2301</v>
      </c>
      <c r="L157" s="20" t="s">
        <v>2302</v>
      </c>
      <c r="M157" s="20" t="s">
        <v>37</v>
      </c>
      <c r="N157" s="20" t="s">
        <v>2207</v>
      </c>
      <c r="O157" s="20" t="s">
        <v>37</v>
      </c>
      <c r="P157" s="20" t="s">
        <v>53</v>
      </c>
    </row>
    <row r="158" ht="46" customHeight="1" spans="1:16" x14ac:dyDescent="0.25">
      <c r="A158" s="17" t="s">
        <v>2603</v>
      </c>
      <c r="B158" s="17" t="s">
        <v>53</v>
      </c>
      <c r="C158" s="17" t="s">
        <v>1283</v>
      </c>
      <c r="D158" s="17" t="s">
        <v>2604</v>
      </c>
      <c r="E158" s="17" t="s">
        <v>2299</v>
      </c>
      <c r="F158" s="17" t="s">
        <v>1285</v>
      </c>
      <c r="G158" s="17" t="s">
        <v>1287</v>
      </c>
      <c r="H158" s="17" t="s">
        <v>53</v>
      </c>
      <c r="I158" s="17" t="s">
        <v>2300</v>
      </c>
      <c r="J158" s="17" t="s">
        <v>37</v>
      </c>
      <c r="K158" s="17" t="s">
        <v>2301</v>
      </c>
      <c r="L158" s="17" t="s">
        <v>2302</v>
      </c>
      <c r="M158" s="17" t="s">
        <v>37</v>
      </c>
      <c r="N158" s="17" t="s">
        <v>2207</v>
      </c>
      <c r="O158" s="17" t="s">
        <v>37</v>
      </c>
      <c r="P158" s="17" t="s">
        <v>53</v>
      </c>
    </row>
    <row r="159" ht="46" customHeight="1" spans="1:16" x14ac:dyDescent="0.25">
      <c r="A159" s="20" t="s">
        <v>2605</v>
      </c>
      <c r="B159" s="20" t="s">
        <v>53</v>
      </c>
      <c r="C159" s="20" t="s">
        <v>1290</v>
      </c>
      <c r="D159" s="20" t="s">
        <v>2606</v>
      </c>
      <c r="E159" s="20" t="s">
        <v>2299</v>
      </c>
      <c r="F159" s="20" t="s">
        <v>1292</v>
      </c>
      <c r="G159" s="20" t="s">
        <v>1294</v>
      </c>
      <c r="H159" s="20" t="s">
        <v>53</v>
      </c>
      <c r="I159" s="20" t="s">
        <v>2300</v>
      </c>
      <c r="J159" s="20" t="s">
        <v>37</v>
      </c>
      <c r="K159" s="20" t="s">
        <v>2301</v>
      </c>
      <c r="L159" s="20" t="s">
        <v>2302</v>
      </c>
      <c r="M159" s="20" t="s">
        <v>37</v>
      </c>
      <c r="N159" s="20" t="s">
        <v>2207</v>
      </c>
      <c r="O159" s="20" t="s">
        <v>37</v>
      </c>
      <c r="P159" s="20" t="s">
        <v>53</v>
      </c>
    </row>
    <row r="160" ht="46" customHeight="1" spans="1:16" x14ac:dyDescent="0.25">
      <c r="A160" s="17" t="s">
        <v>2607</v>
      </c>
      <c r="B160" s="17" t="s">
        <v>53</v>
      </c>
      <c r="C160" s="17" t="s">
        <v>1297</v>
      </c>
      <c r="D160" s="17" t="s">
        <v>2608</v>
      </c>
      <c r="E160" s="17" t="s">
        <v>2299</v>
      </c>
      <c r="F160" s="17" t="s">
        <v>1299</v>
      </c>
      <c r="G160" s="17" t="s">
        <v>1301</v>
      </c>
      <c r="H160" s="17" t="s">
        <v>53</v>
      </c>
      <c r="I160" s="17" t="s">
        <v>2300</v>
      </c>
      <c r="J160" s="17" t="s">
        <v>37</v>
      </c>
      <c r="K160" s="17" t="s">
        <v>2301</v>
      </c>
      <c r="L160" s="17" t="s">
        <v>2302</v>
      </c>
      <c r="M160" s="17" t="s">
        <v>37</v>
      </c>
      <c r="N160" s="17" t="s">
        <v>2207</v>
      </c>
      <c r="O160" s="17" t="s">
        <v>37</v>
      </c>
      <c r="P160" s="17" t="s">
        <v>53</v>
      </c>
    </row>
    <row r="161" ht="46" customHeight="1" spans="1:16" x14ac:dyDescent="0.25">
      <c r="A161" s="20" t="s">
        <v>2609</v>
      </c>
      <c r="B161" s="20" t="s">
        <v>53</v>
      </c>
      <c r="C161" s="20" t="s">
        <v>1304</v>
      </c>
      <c r="D161" s="20" t="s">
        <v>2610</v>
      </c>
      <c r="E161" s="20" t="s">
        <v>2299</v>
      </c>
      <c r="F161" s="20" t="s">
        <v>1306</v>
      </c>
      <c r="G161" s="20" t="s">
        <v>1308</v>
      </c>
      <c r="H161" s="20" t="s">
        <v>53</v>
      </c>
      <c r="I161" s="20" t="s">
        <v>2300</v>
      </c>
      <c r="J161" s="20" t="s">
        <v>37</v>
      </c>
      <c r="K161" s="20" t="s">
        <v>2301</v>
      </c>
      <c r="L161" s="20" t="s">
        <v>2302</v>
      </c>
      <c r="M161" s="20" t="s">
        <v>37</v>
      </c>
      <c r="N161" s="20" t="s">
        <v>2207</v>
      </c>
      <c r="O161" s="20" t="s">
        <v>37</v>
      </c>
      <c r="P161" s="20" t="s">
        <v>53</v>
      </c>
    </row>
    <row r="162" ht="46" customHeight="1" spans="1:16" x14ac:dyDescent="0.25">
      <c r="A162" s="17" t="s">
        <v>2611</v>
      </c>
      <c r="B162" s="17" t="s">
        <v>53</v>
      </c>
      <c r="C162" s="17" t="s">
        <v>1311</v>
      </c>
      <c r="D162" s="17" t="s">
        <v>2612</v>
      </c>
      <c r="E162" s="17" t="s">
        <v>2299</v>
      </c>
      <c r="F162" s="17" t="s">
        <v>1313</v>
      </c>
      <c r="G162" s="17" t="s">
        <v>1315</v>
      </c>
      <c r="H162" s="17" t="s">
        <v>53</v>
      </c>
      <c r="I162" s="17" t="s">
        <v>2300</v>
      </c>
      <c r="J162" s="17" t="s">
        <v>37</v>
      </c>
      <c r="K162" s="17" t="s">
        <v>2301</v>
      </c>
      <c r="L162" s="17" t="s">
        <v>2302</v>
      </c>
      <c r="M162" s="17" t="s">
        <v>37</v>
      </c>
      <c r="N162" s="17" t="s">
        <v>2207</v>
      </c>
      <c r="O162" s="17" t="s">
        <v>37</v>
      </c>
      <c r="P162" s="17" t="s">
        <v>53</v>
      </c>
    </row>
    <row r="163" ht="46" customHeight="1" spans="1:16" x14ac:dyDescent="0.25">
      <c r="A163" s="20" t="s">
        <v>2613</v>
      </c>
      <c r="B163" s="20" t="s">
        <v>53</v>
      </c>
      <c r="C163" s="20" t="s">
        <v>1318</v>
      </c>
      <c r="D163" s="20" t="s">
        <v>2614</v>
      </c>
      <c r="E163" s="20" t="s">
        <v>2299</v>
      </c>
      <c r="F163" s="20" t="s">
        <v>1320</v>
      </c>
      <c r="G163" s="20" t="s">
        <v>1322</v>
      </c>
      <c r="H163" s="20" t="s">
        <v>53</v>
      </c>
      <c r="I163" s="20" t="s">
        <v>2300</v>
      </c>
      <c r="J163" s="20" t="s">
        <v>37</v>
      </c>
      <c r="K163" s="20" t="s">
        <v>2301</v>
      </c>
      <c r="L163" s="20" t="s">
        <v>2302</v>
      </c>
      <c r="M163" s="20" t="s">
        <v>37</v>
      </c>
      <c r="N163" s="20" t="s">
        <v>2207</v>
      </c>
      <c r="O163" s="20" t="s">
        <v>37</v>
      </c>
      <c r="P163" s="20" t="s">
        <v>53</v>
      </c>
    </row>
    <row r="164" ht="46" customHeight="1" spans="1:16" x14ac:dyDescent="0.25">
      <c r="A164" s="17" t="s">
        <v>2615</v>
      </c>
      <c r="B164" s="17" t="s">
        <v>53</v>
      </c>
      <c r="C164" s="17" t="s">
        <v>1325</v>
      </c>
      <c r="D164" s="17" t="s">
        <v>2616</v>
      </c>
      <c r="E164" s="17" t="s">
        <v>2299</v>
      </c>
      <c r="F164" s="17" t="s">
        <v>1327</v>
      </c>
      <c r="G164" s="17" t="s">
        <v>1329</v>
      </c>
      <c r="H164" s="17" t="s">
        <v>53</v>
      </c>
      <c r="I164" s="17" t="s">
        <v>2300</v>
      </c>
      <c r="J164" s="17" t="s">
        <v>37</v>
      </c>
      <c r="K164" s="17" t="s">
        <v>2301</v>
      </c>
      <c r="L164" s="17" t="s">
        <v>2302</v>
      </c>
      <c r="M164" s="17" t="s">
        <v>37</v>
      </c>
      <c r="N164" s="17" t="s">
        <v>2207</v>
      </c>
      <c r="O164" s="17" t="s">
        <v>37</v>
      </c>
      <c r="P164" s="17" t="s">
        <v>53</v>
      </c>
    </row>
    <row r="165" ht="46" customHeight="1" spans="1:16" x14ac:dyDescent="0.25">
      <c r="A165" s="20" t="s">
        <v>2617</v>
      </c>
      <c r="B165" s="20" t="s">
        <v>53</v>
      </c>
      <c r="C165" s="20" t="s">
        <v>1332</v>
      </c>
      <c r="D165" s="20" t="s">
        <v>2618</v>
      </c>
      <c r="E165" s="20" t="s">
        <v>2299</v>
      </c>
      <c r="F165" s="20" t="s">
        <v>1334</v>
      </c>
      <c r="G165" s="20" t="s">
        <v>1336</v>
      </c>
      <c r="H165" s="20" t="s">
        <v>53</v>
      </c>
      <c r="I165" s="20" t="s">
        <v>2300</v>
      </c>
      <c r="J165" s="20" t="s">
        <v>37</v>
      </c>
      <c r="K165" s="20" t="s">
        <v>2301</v>
      </c>
      <c r="L165" s="20" t="s">
        <v>2302</v>
      </c>
      <c r="M165" s="20" t="s">
        <v>37</v>
      </c>
      <c r="N165" s="20" t="s">
        <v>2207</v>
      </c>
      <c r="O165" s="20" t="s">
        <v>37</v>
      </c>
      <c r="P165" s="20" t="s">
        <v>53</v>
      </c>
    </row>
    <row r="166" ht="46" customHeight="1" spans="1:16" x14ac:dyDescent="0.25">
      <c r="A166" s="17" t="s">
        <v>2619</v>
      </c>
      <c r="B166" s="17" t="s">
        <v>54</v>
      </c>
      <c r="C166" s="17" t="s">
        <v>1339</v>
      </c>
      <c r="D166" s="17" t="s">
        <v>2620</v>
      </c>
      <c r="E166" s="17" t="s">
        <v>2299</v>
      </c>
      <c r="F166" s="17" t="s">
        <v>1341</v>
      </c>
      <c r="G166" s="17" t="s">
        <v>1343</v>
      </c>
      <c r="H166" s="17" t="s">
        <v>1344</v>
      </c>
      <c r="I166" s="17" t="s">
        <v>2300</v>
      </c>
      <c r="J166" s="17" t="s">
        <v>37</v>
      </c>
      <c r="K166" s="17" t="s">
        <v>2301</v>
      </c>
      <c r="L166" s="17" t="s">
        <v>2302</v>
      </c>
      <c r="M166" s="17" t="s">
        <v>37</v>
      </c>
      <c r="N166" s="17" t="s">
        <v>2207</v>
      </c>
      <c r="O166" s="17" t="s">
        <v>37</v>
      </c>
      <c r="P166" s="17" t="s">
        <v>1344</v>
      </c>
    </row>
    <row r="167" ht="46" customHeight="1" spans="1:16" x14ac:dyDescent="0.25">
      <c r="A167" s="20" t="s">
        <v>2621</v>
      </c>
      <c r="B167" s="20" t="s">
        <v>54</v>
      </c>
      <c r="C167" s="20" t="s">
        <v>1346</v>
      </c>
      <c r="D167" s="20" t="s">
        <v>2622</v>
      </c>
      <c r="E167" s="20" t="s">
        <v>2299</v>
      </c>
      <c r="F167" s="20" t="s">
        <v>1348</v>
      </c>
      <c r="G167" s="20" t="s">
        <v>1350</v>
      </c>
      <c r="H167" s="20" t="s">
        <v>1344</v>
      </c>
      <c r="I167" s="20" t="s">
        <v>2300</v>
      </c>
      <c r="J167" s="20" t="s">
        <v>37</v>
      </c>
      <c r="K167" s="20" t="s">
        <v>2301</v>
      </c>
      <c r="L167" s="20" t="s">
        <v>2302</v>
      </c>
      <c r="M167" s="20" t="s">
        <v>37</v>
      </c>
      <c r="N167" s="20" t="s">
        <v>2207</v>
      </c>
      <c r="O167" s="20" t="s">
        <v>37</v>
      </c>
      <c r="P167" s="20" t="s">
        <v>1344</v>
      </c>
    </row>
    <row r="168" ht="46" customHeight="1" spans="1:16" x14ac:dyDescent="0.25">
      <c r="A168" s="17" t="s">
        <v>2623</v>
      </c>
      <c r="B168" s="17" t="s">
        <v>54</v>
      </c>
      <c r="C168" s="17" t="s">
        <v>1353</v>
      </c>
      <c r="D168" s="17" t="s">
        <v>2624</v>
      </c>
      <c r="E168" s="17" t="s">
        <v>2299</v>
      </c>
      <c r="F168" s="17" t="s">
        <v>1355</v>
      </c>
      <c r="G168" s="17" t="s">
        <v>1357</v>
      </c>
      <c r="H168" s="17" t="s">
        <v>1344</v>
      </c>
      <c r="I168" s="17" t="s">
        <v>2300</v>
      </c>
      <c r="J168" s="17" t="s">
        <v>37</v>
      </c>
      <c r="K168" s="17" t="s">
        <v>2301</v>
      </c>
      <c r="L168" s="17" t="s">
        <v>2302</v>
      </c>
      <c r="M168" s="17" t="s">
        <v>37</v>
      </c>
      <c r="N168" s="17" t="s">
        <v>2207</v>
      </c>
      <c r="O168" s="17" t="s">
        <v>37</v>
      </c>
      <c r="P168" s="17" t="s">
        <v>1344</v>
      </c>
    </row>
    <row r="169" ht="46" customHeight="1" spans="1:16" x14ac:dyDescent="0.25">
      <c r="A169" s="20" t="s">
        <v>2625</v>
      </c>
      <c r="B169" s="20" t="s">
        <v>54</v>
      </c>
      <c r="C169" s="20" t="s">
        <v>1360</v>
      </c>
      <c r="D169" s="20" t="s">
        <v>2626</v>
      </c>
      <c r="E169" s="20" t="s">
        <v>2299</v>
      </c>
      <c r="F169" s="20" t="s">
        <v>1362</v>
      </c>
      <c r="G169" s="20" t="s">
        <v>1364</v>
      </c>
      <c r="H169" s="20" t="s">
        <v>1344</v>
      </c>
      <c r="I169" s="20" t="s">
        <v>2300</v>
      </c>
      <c r="J169" s="20" t="s">
        <v>37</v>
      </c>
      <c r="K169" s="20" t="s">
        <v>2301</v>
      </c>
      <c r="L169" s="20" t="s">
        <v>2302</v>
      </c>
      <c r="M169" s="20" t="s">
        <v>37</v>
      </c>
      <c r="N169" s="20" t="s">
        <v>2207</v>
      </c>
      <c r="O169" s="20" t="s">
        <v>37</v>
      </c>
      <c r="P169" s="20" t="s">
        <v>1344</v>
      </c>
    </row>
    <row r="170" ht="46" customHeight="1" spans="1:16" x14ac:dyDescent="0.25">
      <c r="A170" s="17" t="s">
        <v>2627</v>
      </c>
      <c r="B170" s="17" t="s">
        <v>54</v>
      </c>
      <c r="C170" s="17" t="s">
        <v>1367</v>
      </c>
      <c r="D170" s="17" t="s">
        <v>2628</v>
      </c>
      <c r="E170" s="17" t="s">
        <v>2299</v>
      </c>
      <c r="F170" s="17" t="s">
        <v>1369</v>
      </c>
      <c r="G170" s="17" t="s">
        <v>1371</v>
      </c>
      <c r="H170" s="17" t="s">
        <v>1344</v>
      </c>
      <c r="I170" s="17" t="s">
        <v>2300</v>
      </c>
      <c r="J170" s="17" t="s">
        <v>37</v>
      </c>
      <c r="K170" s="17" t="s">
        <v>2301</v>
      </c>
      <c r="L170" s="17" t="s">
        <v>2302</v>
      </c>
      <c r="M170" s="17" t="s">
        <v>37</v>
      </c>
      <c r="N170" s="17" t="s">
        <v>2207</v>
      </c>
      <c r="O170" s="17" t="s">
        <v>37</v>
      </c>
      <c r="P170" s="17" t="s">
        <v>1344</v>
      </c>
    </row>
    <row r="171" ht="46" customHeight="1" spans="1:16" x14ac:dyDescent="0.25">
      <c r="A171" s="20" t="s">
        <v>2629</v>
      </c>
      <c r="B171" s="20" t="s">
        <v>54</v>
      </c>
      <c r="C171" s="20" t="s">
        <v>1374</v>
      </c>
      <c r="D171" s="20" t="s">
        <v>2630</v>
      </c>
      <c r="E171" s="20" t="s">
        <v>2299</v>
      </c>
      <c r="F171" s="20" t="s">
        <v>1376</v>
      </c>
      <c r="G171" s="20" t="s">
        <v>1378</v>
      </c>
      <c r="H171" s="20" t="s">
        <v>1344</v>
      </c>
      <c r="I171" s="20" t="s">
        <v>2300</v>
      </c>
      <c r="J171" s="20" t="s">
        <v>37</v>
      </c>
      <c r="K171" s="20" t="s">
        <v>2301</v>
      </c>
      <c r="L171" s="20" t="s">
        <v>2302</v>
      </c>
      <c r="M171" s="20" t="s">
        <v>37</v>
      </c>
      <c r="N171" s="20" t="s">
        <v>2207</v>
      </c>
      <c r="O171" s="20" t="s">
        <v>37</v>
      </c>
      <c r="P171" s="20" t="s">
        <v>1344</v>
      </c>
    </row>
    <row r="172" ht="46" customHeight="1" spans="1:16" x14ac:dyDescent="0.25">
      <c r="A172" s="17" t="s">
        <v>2631</v>
      </c>
      <c r="B172" s="17" t="s">
        <v>54</v>
      </c>
      <c r="C172" s="17" t="s">
        <v>1381</v>
      </c>
      <c r="D172" s="17" t="s">
        <v>2632</v>
      </c>
      <c r="E172" s="17" t="s">
        <v>2299</v>
      </c>
      <c r="F172" s="17" t="s">
        <v>1383</v>
      </c>
      <c r="G172" s="17" t="s">
        <v>1385</v>
      </c>
      <c r="H172" s="17" t="s">
        <v>1344</v>
      </c>
      <c r="I172" s="17" t="s">
        <v>2300</v>
      </c>
      <c r="J172" s="17" t="s">
        <v>37</v>
      </c>
      <c r="K172" s="17" t="s">
        <v>2301</v>
      </c>
      <c r="L172" s="17" t="s">
        <v>2302</v>
      </c>
      <c r="M172" s="17" t="s">
        <v>37</v>
      </c>
      <c r="N172" s="17" t="s">
        <v>2207</v>
      </c>
      <c r="O172" s="17" t="s">
        <v>37</v>
      </c>
      <c r="P172" s="17" t="s">
        <v>1344</v>
      </c>
    </row>
    <row r="173" ht="46" customHeight="1" spans="1:16" x14ac:dyDescent="0.25">
      <c r="A173" s="20" t="s">
        <v>2633</v>
      </c>
      <c r="B173" s="20" t="s">
        <v>54</v>
      </c>
      <c r="C173" s="20" t="s">
        <v>1388</v>
      </c>
      <c r="D173" s="20" t="s">
        <v>2634</v>
      </c>
      <c r="E173" s="20" t="s">
        <v>2299</v>
      </c>
      <c r="F173" s="20" t="s">
        <v>1390</v>
      </c>
      <c r="G173" s="20" t="s">
        <v>1392</v>
      </c>
      <c r="H173" s="20" t="s">
        <v>1344</v>
      </c>
      <c r="I173" s="20" t="s">
        <v>2300</v>
      </c>
      <c r="J173" s="20" t="s">
        <v>37</v>
      </c>
      <c r="K173" s="20" t="s">
        <v>2301</v>
      </c>
      <c r="L173" s="20" t="s">
        <v>2302</v>
      </c>
      <c r="M173" s="20" t="s">
        <v>37</v>
      </c>
      <c r="N173" s="20" t="s">
        <v>2207</v>
      </c>
      <c r="O173" s="20" t="s">
        <v>37</v>
      </c>
      <c r="P173" s="20" t="s">
        <v>1344</v>
      </c>
    </row>
    <row r="174" ht="46" customHeight="1" spans="1:16" x14ac:dyDescent="0.25">
      <c r="A174" s="17" t="s">
        <v>2635</v>
      </c>
      <c r="B174" s="17" t="s">
        <v>54</v>
      </c>
      <c r="C174" s="17" t="s">
        <v>1395</v>
      </c>
      <c r="D174" s="17" t="s">
        <v>2636</v>
      </c>
      <c r="E174" s="17" t="s">
        <v>2299</v>
      </c>
      <c r="F174" s="17" t="s">
        <v>1397</v>
      </c>
      <c r="G174" s="17" t="s">
        <v>1399</v>
      </c>
      <c r="H174" s="17" t="s">
        <v>1344</v>
      </c>
      <c r="I174" s="17" t="s">
        <v>2300</v>
      </c>
      <c r="J174" s="17" t="s">
        <v>37</v>
      </c>
      <c r="K174" s="17" t="s">
        <v>2301</v>
      </c>
      <c r="L174" s="17" t="s">
        <v>2302</v>
      </c>
      <c r="M174" s="17" t="s">
        <v>37</v>
      </c>
      <c r="N174" s="17" t="s">
        <v>2207</v>
      </c>
      <c r="O174" s="17" t="s">
        <v>37</v>
      </c>
      <c r="P174" s="17" t="s">
        <v>1344</v>
      </c>
    </row>
    <row r="175" ht="46" customHeight="1" spans="1:16" x14ac:dyDescent="0.25">
      <c r="A175" s="20" t="s">
        <v>2637</v>
      </c>
      <c r="B175" s="20" t="s">
        <v>54</v>
      </c>
      <c r="C175" s="20" t="s">
        <v>1402</v>
      </c>
      <c r="D175" s="20" t="s">
        <v>2638</v>
      </c>
      <c r="E175" s="20" t="s">
        <v>2299</v>
      </c>
      <c r="F175" s="20" t="s">
        <v>1404</v>
      </c>
      <c r="G175" s="20" t="s">
        <v>1406</v>
      </c>
      <c r="H175" s="20" t="s">
        <v>1344</v>
      </c>
      <c r="I175" s="20" t="s">
        <v>2300</v>
      </c>
      <c r="J175" s="20" t="s">
        <v>37</v>
      </c>
      <c r="K175" s="20" t="s">
        <v>2301</v>
      </c>
      <c r="L175" s="20" t="s">
        <v>2302</v>
      </c>
      <c r="M175" s="20" t="s">
        <v>37</v>
      </c>
      <c r="N175" s="20" t="s">
        <v>2207</v>
      </c>
      <c r="O175" s="20" t="s">
        <v>37</v>
      </c>
      <c r="P175" s="20" t="s">
        <v>1344</v>
      </c>
    </row>
    <row r="176" ht="46" customHeight="1" spans="1:16" x14ac:dyDescent="0.25">
      <c r="A176" s="17" t="s">
        <v>2639</v>
      </c>
      <c r="B176" s="17" t="s">
        <v>54</v>
      </c>
      <c r="C176" s="17" t="s">
        <v>1409</v>
      </c>
      <c r="D176" s="17" t="s">
        <v>2640</v>
      </c>
      <c r="E176" s="17" t="s">
        <v>2299</v>
      </c>
      <c r="F176" s="17" t="s">
        <v>1411</v>
      </c>
      <c r="G176" s="17" t="s">
        <v>1413</v>
      </c>
      <c r="H176" s="17" t="s">
        <v>1344</v>
      </c>
      <c r="I176" s="17" t="s">
        <v>2300</v>
      </c>
      <c r="J176" s="17" t="s">
        <v>37</v>
      </c>
      <c r="K176" s="17" t="s">
        <v>2301</v>
      </c>
      <c r="L176" s="17" t="s">
        <v>2302</v>
      </c>
      <c r="M176" s="17" t="s">
        <v>37</v>
      </c>
      <c r="N176" s="17" t="s">
        <v>2207</v>
      </c>
      <c r="O176" s="17" t="s">
        <v>37</v>
      </c>
      <c r="P176" s="17" t="s">
        <v>1344</v>
      </c>
    </row>
    <row r="177" ht="46" customHeight="1" spans="1:16" x14ac:dyDescent="0.25">
      <c r="A177" s="20" t="s">
        <v>2641</v>
      </c>
      <c r="B177" s="20" t="s">
        <v>54</v>
      </c>
      <c r="C177" s="20" t="s">
        <v>1416</v>
      </c>
      <c r="D177" s="20" t="s">
        <v>2642</v>
      </c>
      <c r="E177" s="20" t="s">
        <v>2299</v>
      </c>
      <c r="F177" s="20" t="s">
        <v>1418</v>
      </c>
      <c r="G177" s="20" t="s">
        <v>1420</v>
      </c>
      <c r="H177" s="20" t="s">
        <v>1344</v>
      </c>
      <c r="I177" s="20" t="s">
        <v>2300</v>
      </c>
      <c r="J177" s="20" t="s">
        <v>37</v>
      </c>
      <c r="K177" s="20" t="s">
        <v>2301</v>
      </c>
      <c r="L177" s="20" t="s">
        <v>2302</v>
      </c>
      <c r="M177" s="20" t="s">
        <v>37</v>
      </c>
      <c r="N177" s="20" t="s">
        <v>2207</v>
      </c>
      <c r="O177" s="20" t="s">
        <v>37</v>
      </c>
      <c r="P177" s="20" t="s">
        <v>1344</v>
      </c>
    </row>
    <row r="178" ht="46" customHeight="1" spans="1:16" x14ac:dyDescent="0.25">
      <c r="A178" s="17" t="s">
        <v>2643</v>
      </c>
      <c r="B178" s="17" t="s">
        <v>55</v>
      </c>
      <c r="C178" s="17" t="s">
        <v>1423</v>
      </c>
      <c r="D178" s="17" t="s">
        <v>2644</v>
      </c>
      <c r="E178" s="17" t="s">
        <v>2299</v>
      </c>
      <c r="F178" s="17" t="s">
        <v>1425</v>
      </c>
      <c r="G178" s="17" t="s">
        <v>1427</v>
      </c>
      <c r="H178" s="17" t="s">
        <v>1429</v>
      </c>
      <c r="I178" s="17" t="s">
        <v>2300</v>
      </c>
      <c r="J178" s="17" t="s">
        <v>37</v>
      </c>
      <c r="K178" s="17" t="s">
        <v>2301</v>
      </c>
      <c r="L178" s="17" t="s">
        <v>2302</v>
      </c>
      <c r="M178" s="17" t="s">
        <v>37</v>
      </c>
      <c r="N178" s="17" t="s">
        <v>2207</v>
      </c>
      <c r="O178" s="17" t="s">
        <v>37</v>
      </c>
      <c r="P178" s="17" t="s">
        <v>1429</v>
      </c>
    </row>
    <row r="179" ht="46" customHeight="1" spans="1:16" x14ac:dyDescent="0.25">
      <c r="A179" s="20" t="s">
        <v>2645</v>
      </c>
      <c r="B179" s="20" t="s">
        <v>55</v>
      </c>
      <c r="C179" s="20" t="s">
        <v>1431</v>
      </c>
      <c r="D179" s="20" t="s">
        <v>2646</v>
      </c>
      <c r="E179" s="20" t="s">
        <v>2299</v>
      </c>
      <c r="F179" s="20" t="s">
        <v>1433</v>
      </c>
      <c r="G179" s="20" t="s">
        <v>1435</v>
      </c>
      <c r="H179" s="20" t="s">
        <v>1429</v>
      </c>
      <c r="I179" s="20" t="s">
        <v>2300</v>
      </c>
      <c r="J179" s="20" t="s">
        <v>37</v>
      </c>
      <c r="K179" s="20" t="s">
        <v>2301</v>
      </c>
      <c r="L179" s="20" t="s">
        <v>2302</v>
      </c>
      <c r="M179" s="20" t="s">
        <v>37</v>
      </c>
      <c r="N179" s="20" t="s">
        <v>2207</v>
      </c>
      <c r="O179" s="20" t="s">
        <v>37</v>
      </c>
      <c r="P179" s="20" t="s">
        <v>1429</v>
      </c>
    </row>
    <row r="180" ht="46" customHeight="1" spans="1:16" x14ac:dyDescent="0.25">
      <c r="A180" s="17" t="s">
        <v>2647</v>
      </c>
      <c r="B180" s="17" t="s">
        <v>55</v>
      </c>
      <c r="C180" s="17" t="s">
        <v>1438</v>
      </c>
      <c r="D180" s="17" t="s">
        <v>2648</v>
      </c>
      <c r="E180" s="17" t="s">
        <v>2299</v>
      </c>
      <c r="F180" s="17" t="s">
        <v>1440</v>
      </c>
      <c r="G180" s="17" t="s">
        <v>1442</v>
      </c>
      <c r="H180" s="17" t="s">
        <v>1429</v>
      </c>
      <c r="I180" s="17" t="s">
        <v>2300</v>
      </c>
      <c r="J180" s="17" t="s">
        <v>37</v>
      </c>
      <c r="K180" s="17" t="s">
        <v>2301</v>
      </c>
      <c r="L180" s="17" t="s">
        <v>2302</v>
      </c>
      <c r="M180" s="17" t="s">
        <v>37</v>
      </c>
      <c r="N180" s="17" t="s">
        <v>2207</v>
      </c>
      <c r="O180" s="17" t="s">
        <v>37</v>
      </c>
      <c r="P180" s="17" t="s">
        <v>1429</v>
      </c>
    </row>
    <row r="181" ht="46" customHeight="1" spans="1:16" x14ac:dyDescent="0.25">
      <c r="A181" s="20" t="s">
        <v>2649</v>
      </c>
      <c r="B181" s="20" t="s">
        <v>55</v>
      </c>
      <c r="C181" s="20" t="s">
        <v>1445</v>
      </c>
      <c r="D181" s="20" t="s">
        <v>2650</v>
      </c>
      <c r="E181" s="20" t="s">
        <v>2299</v>
      </c>
      <c r="F181" s="20" t="s">
        <v>1447</v>
      </c>
      <c r="G181" s="20" t="s">
        <v>1449</v>
      </c>
      <c r="H181" s="20" t="s">
        <v>1429</v>
      </c>
      <c r="I181" s="20" t="s">
        <v>2300</v>
      </c>
      <c r="J181" s="20" t="s">
        <v>37</v>
      </c>
      <c r="K181" s="20" t="s">
        <v>2301</v>
      </c>
      <c r="L181" s="20" t="s">
        <v>2302</v>
      </c>
      <c r="M181" s="20" t="s">
        <v>37</v>
      </c>
      <c r="N181" s="20" t="s">
        <v>2207</v>
      </c>
      <c r="O181" s="20" t="s">
        <v>37</v>
      </c>
      <c r="P181" s="20" t="s">
        <v>1429</v>
      </c>
    </row>
    <row r="182" ht="46" customHeight="1" spans="1:16" x14ac:dyDescent="0.25">
      <c r="A182" s="17" t="s">
        <v>2651</v>
      </c>
      <c r="B182" s="17" t="s">
        <v>55</v>
      </c>
      <c r="C182" s="17" t="s">
        <v>1452</v>
      </c>
      <c r="D182" s="17" t="s">
        <v>2652</v>
      </c>
      <c r="E182" s="17" t="s">
        <v>2299</v>
      </c>
      <c r="F182" s="17" t="s">
        <v>1454</v>
      </c>
      <c r="G182" s="17" t="s">
        <v>1456</v>
      </c>
      <c r="H182" s="17" t="s">
        <v>1429</v>
      </c>
      <c r="I182" s="17" t="s">
        <v>2300</v>
      </c>
      <c r="J182" s="17" t="s">
        <v>37</v>
      </c>
      <c r="K182" s="17" t="s">
        <v>2301</v>
      </c>
      <c r="L182" s="17" t="s">
        <v>2302</v>
      </c>
      <c r="M182" s="17" t="s">
        <v>37</v>
      </c>
      <c r="N182" s="17" t="s">
        <v>2207</v>
      </c>
      <c r="O182" s="17" t="s">
        <v>37</v>
      </c>
      <c r="P182" s="17" t="s">
        <v>1429</v>
      </c>
    </row>
    <row r="183" ht="46" customHeight="1" spans="1:16" x14ac:dyDescent="0.25">
      <c r="A183" s="20" t="s">
        <v>2653</v>
      </c>
      <c r="B183" s="20" t="s">
        <v>55</v>
      </c>
      <c r="C183" s="20" t="s">
        <v>1459</v>
      </c>
      <c r="D183" s="20" t="s">
        <v>2654</v>
      </c>
      <c r="E183" s="20" t="s">
        <v>2299</v>
      </c>
      <c r="F183" s="20" t="s">
        <v>1461</v>
      </c>
      <c r="G183" s="20" t="s">
        <v>1463</v>
      </c>
      <c r="H183" s="20" t="s">
        <v>1429</v>
      </c>
      <c r="I183" s="20" t="s">
        <v>2300</v>
      </c>
      <c r="J183" s="20" t="s">
        <v>37</v>
      </c>
      <c r="K183" s="20" t="s">
        <v>2301</v>
      </c>
      <c r="L183" s="20" t="s">
        <v>2302</v>
      </c>
      <c r="M183" s="20" t="s">
        <v>37</v>
      </c>
      <c r="N183" s="20" t="s">
        <v>2207</v>
      </c>
      <c r="O183" s="20" t="s">
        <v>37</v>
      </c>
      <c r="P183" s="20" t="s">
        <v>1429</v>
      </c>
    </row>
    <row r="184" ht="46" customHeight="1" spans="1:16" x14ac:dyDescent="0.25">
      <c r="A184" s="17" t="s">
        <v>2655</v>
      </c>
      <c r="B184" s="17" t="s">
        <v>55</v>
      </c>
      <c r="C184" s="17" t="s">
        <v>1466</v>
      </c>
      <c r="D184" s="17" t="s">
        <v>2656</v>
      </c>
      <c r="E184" s="17" t="s">
        <v>2299</v>
      </c>
      <c r="F184" s="17" t="s">
        <v>1468</v>
      </c>
      <c r="G184" s="17" t="s">
        <v>1470</v>
      </c>
      <c r="H184" s="17" t="s">
        <v>1429</v>
      </c>
      <c r="I184" s="17" t="s">
        <v>2300</v>
      </c>
      <c r="J184" s="17" t="s">
        <v>37</v>
      </c>
      <c r="K184" s="17" t="s">
        <v>2301</v>
      </c>
      <c r="L184" s="17" t="s">
        <v>2302</v>
      </c>
      <c r="M184" s="17" t="s">
        <v>37</v>
      </c>
      <c r="N184" s="17" t="s">
        <v>2207</v>
      </c>
      <c r="O184" s="17" t="s">
        <v>37</v>
      </c>
      <c r="P184" s="17" t="s">
        <v>1429</v>
      </c>
    </row>
    <row r="185" ht="46" customHeight="1" spans="1:16" x14ac:dyDescent="0.25">
      <c r="A185" s="20" t="s">
        <v>2657</v>
      </c>
      <c r="B185" s="20" t="s">
        <v>55</v>
      </c>
      <c r="C185" s="20" t="s">
        <v>1473</v>
      </c>
      <c r="D185" s="20" t="s">
        <v>2658</v>
      </c>
      <c r="E185" s="20" t="s">
        <v>2299</v>
      </c>
      <c r="F185" s="20" t="s">
        <v>1475</v>
      </c>
      <c r="G185" s="20" t="s">
        <v>1477</v>
      </c>
      <c r="H185" s="20" t="s">
        <v>1429</v>
      </c>
      <c r="I185" s="20" t="s">
        <v>2300</v>
      </c>
      <c r="J185" s="20" t="s">
        <v>37</v>
      </c>
      <c r="K185" s="20" t="s">
        <v>2301</v>
      </c>
      <c r="L185" s="20" t="s">
        <v>2302</v>
      </c>
      <c r="M185" s="20" t="s">
        <v>37</v>
      </c>
      <c r="N185" s="20" t="s">
        <v>2207</v>
      </c>
      <c r="O185" s="20" t="s">
        <v>37</v>
      </c>
      <c r="P185" s="20" t="s">
        <v>1429</v>
      </c>
    </row>
    <row r="186" ht="46" customHeight="1" spans="1:16" x14ac:dyDescent="0.25">
      <c r="A186" s="17" t="s">
        <v>2659</v>
      </c>
      <c r="B186" s="17" t="s">
        <v>55</v>
      </c>
      <c r="C186" s="17" t="s">
        <v>1480</v>
      </c>
      <c r="D186" s="17" t="s">
        <v>2660</v>
      </c>
      <c r="E186" s="17" t="s">
        <v>2299</v>
      </c>
      <c r="F186" s="17" t="s">
        <v>1482</v>
      </c>
      <c r="G186" s="17" t="s">
        <v>1484</v>
      </c>
      <c r="H186" s="17" t="s">
        <v>1429</v>
      </c>
      <c r="I186" s="17" t="s">
        <v>2300</v>
      </c>
      <c r="J186" s="17" t="s">
        <v>37</v>
      </c>
      <c r="K186" s="17" t="s">
        <v>2301</v>
      </c>
      <c r="L186" s="17" t="s">
        <v>2302</v>
      </c>
      <c r="M186" s="17" t="s">
        <v>37</v>
      </c>
      <c r="N186" s="17" t="s">
        <v>2207</v>
      </c>
      <c r="O186" s="17" t="s">
        <v>37</v>
      </c>
      <c r="P186" s="17" t="s">
        <v>1429</v>
      </c>
    </row>
    <row r="187" ht="46" customHeight="1" spans="1:16" x14ac:dyDescent="0.25">
      <c r="A187" s="20" t="s">
        <v>2661</v>
      </c>
      <c r="B187" s="20" t="s">
        <v>55</v>
      </c>
      <c r="C187" s="20" t="s">
        <v>1487</v>
      </c>
      <c r="D187" s="20" t="s">
        <v>2662</v>
      </c>
      <c r="E187" s="20" t="s">
        <v>2299</v>
      </c>
      <c r="F187" s="20" t="s">
        <v>1489</v>
      </c>
      <c r="G187" s="20" t="s">
        <v>1491</v>
      </c>
      <c r="H187" s="20" t="s">
        <v>1429</v>
      </c>
      <c r="I187" s="20" t="s">
        <v>2300</v>
      </c>
      <c r="J187" s="20" t="s">
        <v>37</v>
      </c>
      <c r="K187" s="20" t="s">
        <v>2301</v>
      </c>
      <c r="L187" s="20" t="s">
        <v>2302</v>
      </c>
      <c r="M187" s="20" t="s">
        <v>37</v>
      </c>
      <c r="N187" s="20" t="s">
        <v>2207</v>
      </c>
      <c r="O187" s="20" t="s">
        <v>37</v>
      </c>
      <c r="P187" s="20" t="s">
        <v>1429</v>
      </c>
    </row>
    <row r="188" ht="46" customHeight="1" spans="1:16" x14ac:dyDescent="0.25">
      <c r="A188" s="17" t="s">
        <v>2663</v>
      </c>
      <c r="B188" s="17" t="s">
        <v>56</v>
      </c>
      <c r="C188" s="17" t="s">
        <v>1494</v>
      </c>
      <c r="D188" s="17" t="s">
        <v>2664</v>
      </c>
      <c r="E188" s="17" t="s">
        <v>2299</v>
      </c>
      <c r="F188" s="17" t="s">
        <v>1496</v>
      </c>
      <c r="G188" s="17" t="s">
        <v>1498</v>
      </c>
      <c r="H188" s="17" t="s">
        <v>297</v>
      </c>
      <c r="I188" s="17" t="s">
        <v>2300</v>
      </c>
      <c r="J188" s="17" t="s">
        <v>37</v>
      </c>
      <c r="K188" s="17" t="s">
        <v>2301</v>
      </c>
      <c r="L188" s="17" t="s">
        <v>2302</v>
      </c>
      <c r="M188" s="17" t="s">
        <v>37</v>
      </c>
      <c r="N188" s="17" t="s">
        <v>2207</v>
      </c>
      <c r="O188" s="17" t="s">
        <v>37</v>
      </c>
      <c r="P188" s="17" t="s">
        <v>297</v>
      </c>
    </row>
    <row r="189" ht="46" customHeight="1" spans="1:16" x14ac:dyDescent="0.25">
      <c r="A189" s="20" t="s">
        <v>2665</v>
      </c>
      <c r="B189" s="20" t="s">
        <v>56</v>
      </c>
      <c r="C189" s="20" t="s">
        <v>1501</v>
      </c>
      <c r="D189" s="20" t="s">
        <v>2666</v>
      </c>
      <c r="E189" s="20" t="s">
        <v>2299</v>
      </c>
      <c r="F189" s="20" t="s">
        <v>1503</v>
      </c>
      <c r="G189" s="20" t="s">
        <v>1505</v>
      </c>
      <c r="H189" s="20" t="s">
        <v>297</v>
      </c>
      <c r="I189" s="20" t="s">
        <v>2300</v>
      </c>
      <c r="J189" s="20" t="s">
        <v>37</v>
      </c>
      <c r="K189" s="20" t="s">
        <v>2301</v>
      </c>
      <c r="L189" s="20" t="s">
        <v>2302</v>
      </c>
      <c r="M189" s="20" t="s">
        <v>37</v>
      </c>
      <c r="N189" s="20" t="s">
        <v>2207</v>
      </c>
      <c r="O189" s="20" t="s">
        <v>37</v>
      </c>
      <c r="P189" s="20" t="s">
        <v>297</v>
      </c>
    </row>
    <row r="190" ht="46" customHeight="1" spans="1:16" x14ac:dyDescent="0.25">
      <c r="A190" s="17" t="s">
        <v>2667</v>
      </c>
      <c r="B190" s="17" t="s">
        <v>56</v>
      </c>
      <c r="C190" s="17" t="s">
        <v>1508</v>
      </c>
      <c r="D190" s="17" t="s">
        <v>2668</v>
      </c>
      <c r="E190" s="17" t="s">
        <v>2299</v>
      </c>
      <c r="F190" s="17" t="s">
        <v>1510</v>
      </c>
      <c r="G190" s="17" t="s">
        <v>1512</v>
      </c>
      <c r="H190" s="17" t="s">
        <v>297</v>
      </c>
      <c r="I190" s="17" t="s">
        <v>2300</v>
      </c>
      <c r="J190" s="17" t="s">
        <v>37</v>
      </c>
      <c r="K190" s="17" t="s">
        <v>2301</v>
      </c>
      <c r="L190" s="17" t="s">
        <v>2302</v>
      </c>
      <c r="M190" s="17" t="s">
        <v>37</v>
      </c>
      <c r="N190" s="17" t="s">
        <v>2207</v>
      </c>
      <c r="O190" s="17" t="s">
        <v>37</v>
      </c>
      <c r="P190" s="17" t="s">
        <v>297</v>
      </c>
    </row>
    <row r="191" ht="46" customHeight="1" spans="1:16" x14ac:dyDescent="0.25">
      <c r="A191" s="20" t="s">
        <v>2669</v>
      </c>
      <c r="B191" s="20" t="s">
        <v>56</v>
      </c>
      <c r="C191" s="20" t="s">
        <v>1515</v>
      </c>
      <c r="D191" s="20" t="s">
        <v>2670</v>
      </c>
      <c r="E191" s="20" t="s">
        <v>2299</v>
      </c>
      <c r="F191" s="20" t="s">
        <v>1517</v>
      </c>
      <c r="G191" s="20" t="s">
        <v>1519</v>
      </c>
      <c r="H191" s="20" t="s">
        <v>297</v>
      </c>
      <c r="I191" s="20" t="s">
        <v>2300</v>
      </c>
      <c r="J191" s="20" t="s">
        <v>37</v>
      </c>
      <c r="K191" s="20" t="s">
        <v>2301</v>
      </c>
      <c r="L191" s="20" t="s">
        <v>2302</v>
      </c>
      <c r="M191" s="20" t="s">
        <v>37</v>
      </c>
      <c r="N191" s="20" t="s">
        <v>2207</v>
      </c>
      <c r="O191" s="20" t="s">
        <v>37</v>
      </c>
      <c r="P191" s="20" t="s">
        <v>297</v>
      </c>
    </row>
    <row r="192" ht="46" customHeight="1" spans="1:16" x14ac:dyDescent="0.25">
      <c r="A192" s="17" t="s">
        <v>2671</v>
      </c>
      <c r="B192" s="17" t="s">
        <v>56</v>
      </c>
      <c r="C192" s="17" t="s">
        <v>1522</v>
      </c>
      <c r="D192" s="17" t="s">
        <v>2672</v>
      </c>
      <c r="E192" s="17" t="s">
        <v>2299</v>
      </c>
      <c r="F192" s="17" t="s">
        <v>1524</v>
      </c>
      <c r="G192" s="17" t="s">
        <v>1526</v>
      </c>
      <c r="H192" s="17" t="s">
        <v>297</v>
      </c>
      <c r="I192" s="17" t="s">
        <v>2300</v>
      </c>
      <c r="J192" s="17" t="s">
        <v>37</v>
      </c>
      <c r="K192" s="17" t="s">
        <v>2301</v>
      </c>
      <c r="L192" s="17" t="s">
        <v>2302</v>
      </c>
      <c r="M192" s="17" t="s">
        <v>37</v>
      </c>
      <c r="N192" s="17" t="s">
        <v>2207</v>
      </c>
      <c r="O192" s="17" t="s">
        <v>37</v>
      </c>
      <c r="P192" s="17" t="s">
        <v>297</v>
      </c>
    </row>
    <row r="193" ht="46" customHeight="1" spans="1:16" x14ac:dyDescent="0.25">
      <c r="A193" s="20" t="s">
        <v>2673</v>
      </c>
      <c r="B193" s="20" t="s">
        <v>56</v>
      </c>
      <c r="C193" s="20" t="s">
        <v>1529</v>
      </c>
      <c r="D193" s="20" t="s">
        <v>2674</v>
      </c>
      <c r="E193" s="20" t="s">
        <v>2299</v>
      </c>
      <c r="F193" s="20" t="s">
        <v>1531</v>
      </c>
      <c r="G193" s="20" t="s">
        <v>1533</v>
      </c>
      <c r="H193" s="20" t="s">
        <v>297</v>
      </c>
      <c r="I193" s="20" t="s">
        <v>2300</v>
      </c>
      <c r="J193" s="20" t="s">
        <v>37</v>
      </c>
      <c r="K193" s="20" t="s">
        <v>2301</v>
      </c>
      <c r="L193" s="20" t="s">
        <v>2302</v>
      </c>
      <c r="M193" s="20" t="s">
        <v>37</v>
      </c>
      <c r="N193" s="20" t="s">
        <v>2207</v>
      </c>
      <c r="O193" s="20" t="s">
        <v>37</v>
      </c>
      <c r="P193" s="20" t="s">
        <v>297</v>
      </c>
    </row>
    <row r="194" ht="46" customHeight="1" spans="1:16" x14ac:dyDescent="0.25">
      <c r="A194" s="17" t="s">
        <v>2675</v>
      </c>
      <c r="B194" s="17" t="s">
        <v>56</v>
      </c>
      <c r="C194" s="17" t="s">
        <v>1536</v>
      </c>
      <c r="D194" s="17" t="s">
        <v>2676</v>
      </c>
      <c r="E194" s="17" t="s">
        <v>2299</v>
      </c>
      <c r="F194" s="17" t="s">
        <v>1538</v>
      </c>
      <c r="G194" s="17" t="s">
        <v>1540</v>
      </c>
      <c r="H194" s="17" t="s">
        <v>297</v>
      </c>
      <c r="I194" s="17" t="s">
        <v>2300</v>
      </c>
      <c r="J194" s="17" t="s">
        <v>37</v>
      </c>
      <c r="K194" s="17" t="s">
        <v>2301</v>
      </c>
      <c r="L194" s="17" t="s">
        <v>2302</v>
      </c>
      <c r="M194" s="17" t="s">
        <v>37</v>
      </c>
      <c r="N194" s="17" t="s">
        <v>2207</v>
      </c>
      <c r="O194" s="17" t="s">
        <v>37</v>
      </c>
      <c r="P194" s="17" t="s">
        <v>297</v>
      </c>
    </row>
    <row r="195" ht="46" customHeight="1" spans="1:16" x14ac:dyDescent="0.25">
      <c r="A195" s="20" t="s">
        <v>2677</v>
      </c>
      <c r="B195" s="20" t="s">
        <v>56</v>
      </c>
      <c r="C195" s="20" t="s">
        <v>1543</v>
      </c>
      <c r="D195" s="20" t="s">
        <v>2678</v>
      </c>
      <c r="E195" s="20" t="s">
        <v>2299</v>
      </c>
      <c r="F195" s="20" t="s">
        <v>1545</v>
      </c>
      <c r="G195" s="20" t="s">
        <v>1547</v>
      </c>
      <c r="H195" s="20" t="s">
        <v>297</v>
      </c>
      <c r="I195" s="20" t="s">
        <v>2300</v>
      </c>
      <c r="J195" s="20" t="s">
        <v>37</v>
      </c>
      <c r="K195" s="20" t="s">
        <v>2301</v>
      </c>
      <c r="L195" s="20" t="s">
        <v>2302</v>
      </c>
      <c r="M195" s="20" t="s">
        <v>37</v>
      </c>
      <c r="N195" s="20" t="s">
        <v>2207</v>
      </c>
      <c r="O195" s="20" t="s">
        <v>37</v>
      </c>
      <c r="P195" s="20" t="s">
        <v>297</v>
      </c>
    </row>
    <row r="196" ht="46" customHeight="1" spans="1:16" x14ac:dyDescent="0.25">
      <c r="A196" s="17" t="s">
        <v>2679</v>
      </c>
      <c r="B196" s="17" t="s">
        <v>56</v>
      </c>
      <c r="C196" s="17" t="s">
        <v>1550</v>
      </c>
      <c r="D196" s="17" t="s">
        <v>2680</v>
      </c>
      <c r="E196" s="17" t="s">
        <v>2299</v>
      </c>
      <c r="F196" s="17" t="s">
        <v>1552</v>
      </c>
      <c r="G196" s="17" t="s">
        <v>1554</v>
      </c>
      <c r="H196" s="17" t="s">
        <v>297</v>
      </c>
      <c r="I196" s="17" t="s">
        <v>2300</v>
      </c>
      <c r="J196" s="17" t="s">
        <v>37</v>
      </c>
      <c r="K196" s="17" t="s">
        <v>2301</v>
      </c>
      <c r="L196" s="17" t="s">
        <v>2302</v>
      </c>
      <c r="M196" s="17" t="s">
        <v>37</v>
      </c>
      <c r="N196" s="17" t="s">
        <v>2207</v>
      </c>
      <c r="O196" s="17" t="s">
        <v>37</v>
      </c>
      <c r="P196" s="17" t="s">
        <v>297</v>
      </c>
    </row>
    <row r="197" ht="46" customHeight="1" spans="1:16" x14ac:dyDescent="0.25">
      <c r="A197" s="20" t="s">
        <v>2681</v>
      </c>
      <c r="B197" s="20" t="s">
        <v>56</v>
      </c>
      <c r="C197" s="20" t="s">
        <v>1557</v>
      </c>
      <c r="D197" s="20" t="s">
        <v>2682</v>
      </c>
      <c r="E197" s="20" t="s">
        <v>2299</v>
      </c>
      <c r="F197" s="20" t="s">
        <v>1559</v>
      </c>
      <c r="G197" s="20" t="s">
        <v>1561</v>
      </c>
      <c r="H197" s="20" t="s">
        <v>297</v>
      </c>
      <c r="I197" s="20" t="s">
        <v>2300</v>
      </c>
      <c r="J197" s="20" t="s">
        <v>37</v>
      </c>
      <c r="K197" s="20" t="s">
        <v>2301</v>
      </c>
      <c r="L197" s="20" t="s">
        <v>2302</v>
      </c>
      <c r="M197" s="20" t="s">
        <v>37</v>
      </c>
      <c r="N197" s="20" t="s">
        <v>2207</v>
      </c>
      <c r="O197" s="20" t="s">
        <v>37</v>
      </c>
      <c r="P197" s="20" t="s">
        <v>297</v>
      </c>
    </row>
    <row r="198" ht="46" customHeight="1" spans="1:16" x14ac:dyDescent="0.25">
      <c r="A198" s="17" t="s">
        <v>2683</v>
      </c>
      <c r="B198" s="17" t="s">
        <v>57</v>
      </c>
      <c r="C198" s="17" t="s">
        <v>1564</v>
      </c>
      <c r="D198" s="17" t="s">
        <v>2684</v>
      </c>
      <c r="E198" s="17" t="s">
        <v>2299</v>
      </c>
      <c r="F198" s="17" t="s">
        <v>1566</v>
      </c>
      <c r="G198" s="17" t="s">
        <v>1568</v>
      </c>
      <c r="H198" s="17" t="s">
        <v>1569</v>
      </c>
      <c r="I198" s="17" t="s">
        <v>2300</v>
      </c>
      <c r="J198" s="17" t="s">
        <v>37</v>
      </c>
      <c r="K198" s="17" t="s">
        <v>2301</v>
      </c>
      <c r="L198" s="17" t="s">
        <v>2302</v>
      </c>
      <c r="M198" s="17" t="s">
        <v>37</v>
      </c>
      <c r="N198" s="17" t="s">
        <v>2207</v>
      </c>
      <c r="O198" s="17" t="s">
        <v>37</v>
      </c>
      <c r="P198" s="17" t="s">
        <v>1569</v>
      </c>
    </row>
    <row r="199" ht="46" customHeight="1" spans="1:16" x14ac:dyDescent="0.25">
      <c r="A199" s="20" t="s">
        <v>2685</v>
      </c>
      <c r="B199" s="20" t="s">
        <v>57</v>
      </c>
      <c r="C199" s="20" t="s">
        <v>1571</v>
      </c>
      <c r="D199" s="20" t="s">
        <v>2686</v>
      </c>
      <c r="E199" s="20" t="s">
        <v>2299</v>
      </c>
      <c r="F199" s="20" t="s">
        <v>1573</v>
      </c>
      <c r="G199" s="20" t="s">
        <v>1575</v>
      </c>
      <c r="H199" s="20" t="s">
        <v>1569</v>
      </c>
      <c r="I199" s="20" t="s">
        <v>2300</v>
      </c>
      <c r="J199" s="20" t="s">
        <v>37</v>
      </c>
      <c r="K199" s="20" t="s">
        <v>2301</v>
      </c>
      <c r="L199" s="20" t="s">
        <v>2302</v>
      </c>
      <c r="M199" s="20" t="s">
        <v>37</v>
      </c>
      <c r="N199" s="20" t="s">
        <v>2207</v>
      </c>
      <c r="O199" s="20" t="s">
        <v>37</v>
      </c>
      <c r="P199" s="20" t="s">
        <v>1569</v>
      </c>
    </row>
    <row r="200" ht="46" customHeight="1" spans="1:16" x14ac:dyDescent="0.25">
      <c r="A200" s="17" t="s">
        <v>2687</v>
      </c>
      <c r="B200" s="17" t="s">
        <v>57</v>
      </c>
      <c r="C200" s="17" t="s">
        <v>1578</v>
      </c>
      <c r="D200" s="17" t="s">
        <v>2688</v>
      </c>
      <c r="E200" s="17" t="s">
        <v>2299</v>
      </c>
      <c r="F200" s="17" t="s">
        <v>1580</v>
      </c>
      <c r="G200" s="17" t="s">
        <v>1582</v>
      </c>
      <c r="H200" s="17" t="s">
        <v>1569</v>
      </c>
      <c r="I200" s="17" t="s">
        <v>2300</v>
      </c>
      <c r="J200" s="17" t="s">
        <v>37</v>
      </c>
      <c r="K200" s="17" t="s">
        <v>2301</v>
      </c>
      <c r="L200" s="17" t="s">
        <v>2302</v>
      </c>
      <c r="M200" s="17" t="s">
        <v>37</v>
      </c>
      <c r="N200" s="17" t="s">
        <v>2207</v>
      </c>
      <c r="O200" s="17" t="s">
        <v>37</v>
      </c>
      <c r="P200" s="17" t="s">
        <v>1569</v>
      </c>
    </row>
    <row r="201" ht="46" customHeight="1" spans="1:16" x14ac:dyDescent="0.25">
      <c r="A201" s="20" t="s">
        <v>2689</v>
      </c>
      <c r="B201" s="20" t="s">
        <v>57</v>
      </c>
      <c r="C201" s="20" t="s">
        <v>1585</v>
      </c>
      <c r="D201" s="20" t="s">
        <v>2690</v>
      </c>
      <c r="E201" s="20" t="s">
        <v>2299</v>
      </c>
      <c r="F201" s="20" t="s">
        <v>1587</v>
      </c>
      <c r="G201" s="20" t="s">
        <v>1589</v>
      </c>
      <c r="H201" s="20" t="s">
        <v>1569</v>
      </c>
      <c r="I201" s="20" t="s">
        <v>2300</v>
      </c>
      <c r="J201" s="20" t="s">
        <v>37</v>
      </c>
      <c r="K201" s="20" t="s">
        <v>2301</v>
      </c>
      <c r="L201" s="20" t="s">
        <v>2302</v>
      </c>
      <c r="M201" s="20" t="s">
        <v>37</v>
      </c>
      <c r="N201" s="20" t="s">
        <v>2207</v>
      </c>
      <c r="O201" s="20" t="s">
        <v>37</v>
      </c>
      <c r="P201" s="20" t="s">
        <v>1569</v>
      </c>
    </row>
    <row r="202" ht="46" customHeight="1" spans="1:16" x14ac:dyDescent="0.25">
      <c r="A202" s="17" t="s">
        <v>2691</v>
      </c>
      <c r="B202" s="17" t="s">
        <v>57</v>
      </c>
      <c r="C202" s="17" t="s">
        <v>1592</v>
      </c>
      <c r="D202" s="17" t="s">
        <v>2692</v>
      </c>
      <c r="E202" s="17" t="s">
        <v>2299</v>
      </c>
      <c r="F202" s="17" t="s">
        <v>1594</v>
      </c>
      <c r="G202" s="17" t="s">
        <v>1596</v>
      </c>
      <c r="H202" s="17" t="s">
        <v>1569</v>
      </c>
      <c r="I202" s="17" t="s">
        <v>2300</v>
      </c>
      <c r="J202" s="17" t="s">
        <v>37</v>
      </c>
      <c r="K202" s="17" t="s">
        <v>2301</v>
      </c>
      <c r="L202" s="17" t="s">
        <v>2302</v>
      </c>
      <c r="M202" s="17" t="s">
        <v>37</v>
      </c>
      <c r="N202" s="17" t="s">
        <v>2207</v>
      </c>
      <c r="O202" s="17" t="s">
        <v>37</v>
      </c>
      <c r="P202" s="17" t="s">
        <v>1569</v>
      </c>
    </row>
    <row r="203" ht="46" customHeight="1" spans="1:16" x14ac:dyDescent="0.25">
      <c r="A203" s="20" t="s">
        <v>2693</v>
      </c>
      <c r="B203" s="20" t="s">
        <v>57</v>
      </c>
      <c r="C203" s="20" t="s">
        <v>1599</v>
      </c>
      <c r="D203" s="20" t="s">
        <v>2694</v>
      </c>
      <c r="E203" s="20" t="s">
        <v>2299</v>
      </c>
      <c r="F203" s="20" t="s">
        <v>1601</v>
      </c>
      <c r="G203" s="20" t="s">
        <v>1603</v>
      </c>
      <c r="H203" s="20" t="s">
        <v>1569</v>
      </c>
      <c r="I203" s="20" t="s">
        <v>2300</v>
      </c>
      <c r="J203" s="20" t="s">
        <v>37</v>
      </c>
      <c r="K203" s="20" t="s">
        <v>2301</v>
      </c>
      <c r="L203" s="20" t="s">
        <v>2302</v>
      </c>
      <c r="M203" s="20" t="s">
        <v>37</v>
      </c>
      <c r="N203" s="20" t="s">
        <v>2207</v>
      </c>
      <c r="O203" s="20" t="s">
        <v>37</v>
      </c>
      <c r="P203" s="20" t="s">
        <v>1569</v>
      </c>
    </row>
    <row r="204" ht="46" customHeight="1" spans="1:16" x14ac:dyDescent="0.25">
      <c r="A204" s="17" t="s">
        <v>2695</v>
      </c>
      <c r="B204" s="17" t="s">
        <v>57</v>
      </c>
      <c r="C204" s="17" t="s">
        <v>1606</v>
      </c>
      <c r="D204" s="17" t="s">
        <v>2696</v>
      </c>
      <c r="E204" s="17" t="s">
        <v>2299</v>
      </c>
      <c r="F204" s="17" t="s">
        <v>1608</v>
      </c>
      <c r="G204" s="17" t="s">
        <v>1610</v>
      </c>
      <c r="H204" s="17" t="s">
        <v>1569</v>
      </c>
      <c r="I204" s="17" t="s">
        <v>2300</v>
      </c>
      <c r="J204" s="17" t="s">
        <v>37</v>
      </c>
      <c r="K204" s="17" t="s">
        <v>2301</v>
      </c>
      <c r="L204" s="17" t="s">
        <v>2302</v>
      </c>
      <c r="M204" s="17" t="s">
        <v>37</v>
      </c>
      <c r="N204" s="17" t="s">
        <v>2207</v>
      </c>
      <c r="O204" s="17" t="s">
        <v>37</v>
      </c>
      <c r="P204" s="17" t="s">
        <v>1569</v>
      </c>
    </row>
    <row r="205" ht="46" customHeight="1" spans="1:16" x14ac:dyDescent="0.25">
      <c r="A205" s="20" t="s">
        <v>2697</v>
      </c>
      <c r="B205" s="20" t="s">
        <v>57</v>
      </c>
      <c r="C205" s="20" t="s">
        <v>1613</v>
      </c>
      <c r="D205" s="20" t="s">
        <v>2698</v>
      </c>
      <c r="E205" s="20" t="s">
        <v>2299</v>
      </c>
      <c r="F205" s="20" t="s">
        <v>1615</v>
      </c>
      <c r="G205" s="20" t="s">
        <v>1617</v>
      </c>
      <c r="H205" s="20" t="s">
        <v>1569</v>
      </c>
      <c r="I205" s="20" t="s">
        <v>2300</v>
      </c>
      <c r="J205" s="20" t="s">
        <v>37</v>
      </c>
      <c r="K205" s="20" t="s">
        <v>2301</v>
      </c>
      <c r="L205" s="20" t="s">
        <v>2302</v>
      </c>
      <c r="M205" s="20" t="s">
        <v>37</v>
      </c>
      <c r="N205" s="20" t="s">
        <v>2207</v>
      </c>
      <c r="O205" s="20" t="s">
        <v>37</v>
      </c>
      <c r="P205" s="20" t="s">
        <v>1569</v>
      </c>
    </row>
    <row r="206" ht="46" customHeight="1" spans="1:16" x14ac:dyDescent="0.25">
      <c r="A206" s="17" t="s">
        <v>2699</v>
      </c>
      <c r="B206" s="17" t="s">
        <v>58</v>
      </c>
      <c r="C206" s="17" t="s">
        <v>1621</v>
      </c>
      <c r="D206" s="17" t="s">
        <v>2700</v>
      </c>
      <c r="E206" s="17" t="s">
        <v>2299</v>
      </c>
      <c r="F206" s="17" t="s">
        <v>1623</v>
      </c>
      <c r="G206" s="17" t="s">
        <v>1625</v>
      </c>
      <c r="H206" s="17" t="s">
        <v>1626</v>
      </c>
      <c r="I206" s="17" t="s">
        <v>2300</v>
      </c>
      <c r="J206" s="17" t="s">
        <v>37</v>
      </c>
      <c r="K206" s="17" t="s">
        <v>2301</v>
      </c>
      <c r="L206" s="17" t="s">
        <v>2302</v>
      </c>
      <c r="M206" s="17" t="s">
        <v>37</v>
      </c>
      <c r="N206" s="17" t="s">
        <v>2207</v>
      </c>
      <c r="O206" s="17" t="s">
        <v>37</v>
      </c>
      <c r="P206" s="17" t="s">
        <v>1626</v>
      </c>
    </row>
    <row r="207" ht="46" customHeight="1" spans="1:16" x14ac:dyDescent="0.25">
      <c r="A207" s="20" t="s">
        <v>2701</v>
      </c>
      <c r="B207" s="20" t="s">
        <v>58</v>
      </c>
      <c r="C207" s="20" t="s">
        <v>1628</v>
      </c>
      <c r="D207" s="20" t="s">
        <v>2702</v>
      </c>
      <c r="E207" s="20" t="s">
        <v>2299</v>
      </c>
      <c r="F207" s="20" t="s">
        <v>1630</v>
      </c>
      <c r="G207" s="20" t="s">
        <v>1632</v>
      </c>
      <c r="H207" s="20" t="s">
        <v>1626</v>
      </c>
      <c r="I207" s="20" t="s">
        <v>2300</v>
      </c>
      <c r="J207" s="20" t="s">
        <v>37</v>
      </c>
      <c r="K207" s="20" t="s">
        <v>2301</v>
      </c>
      <c r="L207" s="20" t="s">
        <v>2302</v>
      </c>
      <c r="M207" s="20" t="s">
        <v>37</v>
      </c>
      <c r="N207" s="20" t="s">
        <v>2207</v>
      </c>
      <c r="O207" s="20" t="s">
        <v>37</v>
      </c>
      <c r="P207" s="20" t="s">
        <v>1626</v>
      </c>
    </row>
    <row r="208" ht="46" customHeight="1" spans="1:16" x14ac:dyDescent="0.25">
      <c r="A208" s="17" t="s">
        <v>2703</v>
      </c>
      <c r="B208" s="17" t="s">
        <v>58</v>
      </c>
      <c r="C208" s="17" t="s">
        <v>1635</v>
      </c>
      <c r="D208" s="17" t="s">
        <v>2704</v>
      </c>
      <c r="E208" s="17" t="s">
        <v>2299</v>
      </c>
      <c r="F208" s="17" t="s">
        <v>1637</v>
      </c>
      <c r="G208" s="17" t="s">
        <v>1639</v>
      </c>
      <c r="H208" s="17" t="s">
        <v>1626</v>
      </c>
      <c r="I208" s="17" t="s">
        <v>2300</v>
      </c>
      <c r="J208" s="17" t="s">
        <v>37</v>
      </c>
      <c r="K208" s="17" t="s">
        <v>2301</v>
      </c>
      <c r="L208" s="17" t="s">
        <v>2302</v>
      </c>
      <c r="M208" s="17" t="s">
        <v>37</v>
      </c>
      <c r="N208" s="17" t="s">
        <v>2207</v>
      </c>
      <c r="O208" s="17" t="s">
        <v>37</v>
      </c>
      <c r="P208" s="17" t="s">
        <v>1626</v>
      </c>
    </row>
    <row r="209" ht="46" customHeight="1" spans="1:16" x14ac:dyDescent="0.25">
      <c r="A209" s="20" t="s">
        <v>2705</v>
      </c>
      <c r="B209" s="20" t="s">
        <v>58</v>
      </c>
      <c r="C209" s="20" t="s">
        <v>1642</v>
      </c>
      <c r="D209" s="20" t="s">
        <v>2706</v>
      </c>
      <c r="E209" s="20" t="s">
        <v>2299</v>
      </c>
      <c r="F209" s="20" t="s">
        <v>1644</v>
      </c>
      <c r="G209" s="20" t="s">
        <v>1646</v>
      </c>
      <c r="H209" s="20" t="s">
        <v>1626</v>
      </c>
      <c r="I209" s="20" t="s">
        <v>2300</v>
      </c>
      <c r="J209" s="20" t="s">
        <v>37</v>
      </c>
      <c r="K209" s="20" t="s">
        <v>2301</v>
      </c>
      <c r="L209" s="20" t="s">
        <v>2302</v>
      </c>
      <c r="M209" s="20" t="s">
        <v>37</v>
      </c>
      <c r="N209" s="20" t="s">
        <v>2207</v>
      </c>
      <c r="O209" s="20" t="s">
        <v>37</v>
      </c>
      <c r="P209" s="20" t="s">
        <v>1626</v>
      </c>
    </row>
    <row r="210" ht="46" customHeight="1" spans="1:16" x14ac:dyDescent="0.25">
      <c r="A210" s="17" t="s">
        <v>2707</v>
      </c>
      <c r="B210" s="17" t="s">
        <v>58</v>
      </c>
      <c r="C210" s="17" t="s">
        <v>1649</v>
      </c>
      <c r="D210" s="17" t="s">
        <v>2708</v>
      </c>
      <c r="E210" s="17" t="s">
        <v>2299</v>
      </c>
      <c r="F210" s="17" t="s">
        <v>1651</v>
      </c>
      <c r="G210" s="17" t="s">
        <v>1653</v>
      </c>
      <c r="H210" s="17" t="s">
        <v>1626</v>
      </c>
      <c r="I210" s="17" t="s">
        <v>2300</v>
      </c>
      <c r="J210" s="17" t="s">
        <v>37</v>
      </c>
      <c r="K210" s="17" t="s">
        <v>2301</v>
      </c>
      <c r="L210" s="17" t="s">
        <v>2302</v>
      </c>
      <c r="M210" s="17" t="s">
        <v>37</v>
      </c>
      <c r="N210" s="17" t="s">
        <v>2207</v>
      </c>
      <c r="O210" s="17" t="s">
        <v>37</v>
      </c>
      <c r="P210" s="17" t="s">
        <v>1626</v>
      </c>
    </row>
    <row r="211" ht="46" customHeight="1" spans="1:16" x14ac:dyDescent="0.25">
      <c r="A211" s="20" t="s">
        <v>2709</v>
      </c>
      <c r="B211" s="20" t="s">
        <v>58</v>
      </c>
      <c r="C211" s="20" t="s">
        <v>1656</v>
      </c>
      <c r="D211" s="20" t="s">
        <v>2710</v>
      </c>
      <c r="E211" s="20" t="s">
        <v>2299</v>
      </c>
      <c r="F211" s="20" t="s">
        <v>1658</v>
      </c>
      <c r="G211" s="20" t="s">
        <v>1660</v>
      </c>
      <c r="H211" s="20" t="s">
        <v>1626</v>
      </c>
      <c r="I211" s="20" t="s">
        <v>2300</v>
      </c>
      <c r="J211" s="20" t="s">
        <v>37</v>
      </c>
      <c r="K211" s="20" t="s">
        <v>2301</v>
      </c>
      <c r="L211" s="20" t="s">
        <v>2302</v>
      </c>
      <c r="M211" s="20" t="s">
        <v>37</v>
      </c>
      <c r="N211" s="20" t="s">
        <v>2207</v>
      </c>
      <c r="O211" s="20" t="s">
        <v>37</v>
      </c>
      <c r="P211" s="20" t="s">
        <v>1626</v>
      </c>
    </row>
    <row r="212" ht="46" customHeight="1" spans="1:16" x14ac:dyDescent="0.25">
      <c r="A212" s="17" t="s">
        <v>2711</v>
      </c>
      <c r="B212" s="17" t="s">
        <v>58</v>
      </c>
      <c r="C212" s="17" t="s">
        <v>1663</v>
      </c>
      <c r="D212" s="17" t="s">
        <v>2712</v>
      </c>
      <c r="E212" s="17" t="s">
        <v>2299</v>
      </c>
      <c r="F212" s="17" t="s">
        <v>1665</v>
      </c>
      <c r="G212" s="17" t="s">
        <v>1667</v>
      </c>
      <c r="H212" s="17" t="s">
        <v>1626</v>
      </c>
      <c r="I212" s="17" t="s">
        <v>2300</v>
      </c>
      <c r="J212" s="17" t="s">
        <v>37</v>
      </c>
      <c r="K212" s="17" t="s">
        <v>2301</v>
      </c>
      <c r="L212" s="17" t="s">
        <v>2302</v>
      </c>
      <c r="M212" s="17" t="s">
        <v>37</v>
      </c>
      <c r="N212" s="17" t="s">
        <v>2207</v>
      </c>
      <c r="O212" s="17" t="s">
        <v>37</v>
      </c>
      <c r="P212" s="17" t="s">
        <v>1626</v>
      </c>
    </row>
    <row r="213" ht="46" customHeight="1" spans="1:16" x14ac:dyDescent="0.25">
      <c r="A213" s="20" t="s">
        <v>2713</v>
      </c>
      <c r="B213" s="20" t="s">
        <v>58</v>
      </c>
      <c r="C213" s="20" t="s">
        <v>1670</v>
      </c>
      <c r="D213" s="20" t="s">
        <v>2714</v>
      </c>
      <c r="E213" s="20" t="s">
        <v>2299</v>
      </c>
      <c r="F213" s="20" t="s">
        <v>1672</v>
      </c>
      <c r="G213" s="20" t="s">
        <v>1674</v>
      </c>
      <c r="H213" s="20" t="s">
        <v>1626</v>
      </c>
      <c r="I213" s="20" t="s">
        <v>2300</v>
      </c>
      <c r="J213" s="20" t="s">
        <v>37</v>
      </c>
      <c r="K213" s="20" t="s">
        <v>2301</v>
      </c>
      <c r="L213" s="20" t="s">
        <v>2302</v>
      </c>
      <c r="M213" s="20" t="s">
        <v>37</v>
      </c>
      <c r="N213" s="20" t="s">
        <v>2207</v>
      </c>
      <c r="O213" s="20" t="s">
        <v>37</v>
      </c>
      <c r="P213" s="20" t="s">
        <v>1626</v>
      </c>
    </row>
    <row r="214" ht="46" customHeight="1" spans="1:16" x14ac:dyDescent="0.25">
      <c r="A214" s="17" t="s">
        <v>2715</v>
      </c>
      <c r="B214" s="17" t="s">
        <v>59</v>
      </c>
      <c r="C214" s="17" t="s">
        <v>1677</v>
      </c>
      <c r="D214" s="17" t="s">
        <v>2716</v>
      </c>
      <c r="E214" s="17" t="s">
        <v>2299</v>
      </c>
      <c r="F214" s="17" t="s">
        <v>1679</v>
      </c>
      <c r="G214" s="17" t="s">
        <v>1681</v>
      </c>
      <c r="H214" s="17" t="s">
        <v>1682</v>
      </c>
      <c r="I214" s="17" t="s">
        <v>2300</v>
      </c>
      <c r="J214" s="17" t="s">
        <v>37</v>
      </c>
      <c r="K214" s="17" t="s">
        <v>2301</v>
      </c>
      <c r="L214" s="17" t="s">
        <v>2302</v>
      </c>
      <c r="M214" s="17" t="s">
        <v>37</v>
      </c>
      <c r="N214" s="17" t="s">
        <v>2207</v>
      </c>
      <c r="O214" s="17" t="s">
        <v>37</v>
      </c>
      <c r="P214" s="17" t="s">
        <v>1682</v>
      </c>
    </row>
    <row r="215" ht="46" customHeight="1" spans="1:16" x14ac:dyDescent="0.25">
      <c r="A215" s="20" t="s">
        <v>2717</v>
      </c>
      <c r="B215" s="20" t="s">
        <v>59</v>
      </c>
      <c r="C215" s="20" t="s">
        <v>1684</v>
      </c>
      <c r="D215" s="20" t="s">
        <v>2718</v>
      </c>
      <c r="E215" s="20" t="s">
        <v>2299</v>
      </c>
      <c r="F215" s="20" t="s">
        <v>1686</v>
      </c>
      <c r="G215" s="20" t="s">
        <v>1688</v>
      </c>
      <c r="H215" s="20" t="s">
        <v>1682</v>
      </c>
      <c r="I215" s="20" t="s">
        <v>2300</v>
      </c>
      <c r="J215" s="20" t="s">
        <v>37</v>
      </c>
      <c r="K215" s="20" t="s">
        <v>2301</v>
      </c>
      <c r="L215" s="20" t="s">
        <v>2302</v>
      </c>
      <c r="M215" s="20" t="s">
        <v>37</v>
      </c>
      <c r="N215" s="20" t="s">
        <v>2207</v>
      </c>
      <c r="O215" s="20" t="s">
        <v>37</v>
      </c>
      <c r="P215" s="20" t="s">
        <v>1682</v>
      </c>
    </row>
    <row r="216" ht="46" customHeight="1" spans="1:16" x14ac:dyDescent="0.25">
      <c r="A216" s="17" t="s">
        <v>2719</v>
      </c>
      <c r="B216" s="17" t="s">
        <v>59</v>
      </c>
      <c r="C216" s="17" t="s">
        <v>1691</v>
      </c>
      <c r="D216" s="17" t="s">
        <v>2720</v>
      </c>
      <c r="E216" s="17" t="s">
        <v>2299</v>
      </c>
      <c r="F216" s="17" t="s">
        <v>1693</v>
      </c>
      <c r="G216" s="17" t="s">
        <v>1695</v>
      </c>
      <c r="H216" s="17" t="s">
        <v>1682</v>
      </c>
      <c r="I216" s="17" t="s">
        <v>2300</v>
      </c>
      <c r="J216" s="17" t="s">
        <v>37</v>
      </c>
      <c r="K216" s="17" t="s">
        <v>2301</v>
      </c>
      <c r="L216" s="17" t="s">
        <v>2302</v>
      </c>
      <c r="M216" s="17" t="s">
        <v>37</v>
      </c>
      <c r="N216" s="17" t="s">
        <v>2207</v>
      </c>
      <c r="O216" s="17" t="s">
        <v>37</v>
      </c>
      <c r="P216" s="17" t="s">
        <v>1682</v>
      </c>
    </row>
    <row r="217" ht="46" customHeight="1" spans="1:16" x14ac:dyDescent="0.25">
      <c r="A217" s="20" t="s">
        <v>2721</v>
      </c>
      <c r="B217" s="20" t="s">
        <v>59</v>
      </c>
      <c r="C217" s="20" t="s">
        <v>1698</v>
      </c>
      <c r="D217" s="20" t="s">
        <v>2722</v>
      </c>
      <c r="E217" s="20" t="s">
        <v>2299</v>
      </c>
      <c r="F217" s="20" t="s">
        <v>1700</v>
      </c>
      <c r="G217" s="20" t="s">
        <v>1702</v>
      </c>
      <c r="H217" s="20" t="s">
        <v>1682</v>
      </c>
      <c r="I217" s="20" t="s">
        <v>2300</v>
      </c>
      <c r="J217" s="20" t="s">
        <v>37</v>
      </c>
      <c r="K217" s="20" t="s">
        <v>2301</v>
      </c>
      <c r="L217" s="20" t="s">
        <v>2302</v>
      </c>
      <c r="M217" s="20" t="s">
        <v>37</v>
      </c>
      <c r="N217" s="20" t="s">
        <v>2207</v>
      </c>
      <c r="O217" s="20" t="s">
        <v>37</v>
      </c>
      <c r="P217" s="20" t="s">
        <v>1682</v>
      </c>
    </row>
    <row r="218" ht="46" customHeight="1" spans="1:16" x14ac:dyDescent="0.25">
      <c r="A218" s="17" t="s">
        <v>2723</v>
      </c>
      <c r="B218" s="17" t="s">
        <v>59</v>
      </c>
      <c r="C218" s="17" t="s">
        <v>1705</v>
      </c>
      <c r="D218" s="17" t="s">
        <v>2724</v>
      </c>
      <c r="E218" s="17" t="s">
        <v>2299</v>
      </c>
      <c r="F218" s="17" t="s">
        <v>1707</v>
      </c>
      <c r="G218" s="17" t="s">
        <v>1709</v>
      </c>
      <c r="H218" s="17" t="s">
        <v>1682</v>
      </c>
      <c r="I218" s="17" t="s">
        <v>2300</v>
      </c>
      <c r="J218" s="17" t="s">
        <v>37</v>
      </c>
      <c r="K218" s="17" t="s">
        <v>2301</v>
      </c>
      <c r="L218" s="17" t="s">
        <v>2302</v>
      </c>
      <c r="M218" s="17" t="s">
        <v>37</v>
      </c>
      <c r="N218" s="17" t="s">
        <v>2207</v>
      </c>
      <c r="O218" s="17" t="s">
        <v>37</v>
      </c>
      <c r="P218" s="17" t="s">
        <v>1682</v>
      </c>
    </row>
    <row r="219" ht="46" customHeight="1" spans="1:16" x14ac:dyDescent="0.25">
      <c r="A219" s="20" t="s">
        <v>2725</v>
      </c>
      <c r="B219" s="20" t="s">
        <v>59</v>
      </c>
      <c r="C219" s="20" t="s">
        <v>1712</v>
      </c>
      <c r="D219" s="20" t="s">
        <v>2726</v>
      </c>
      <c r="E219" s="20" t="s">
        <v>2299</v>
      </c>
      <c r="F219" s="20" t="s">
        <v>1714</v>
      </c>
      <c r="G219" s="20" t="s">
        <v>1716</v>
      </c>
      <c r="H219" s="20" t="s">
        <v>1682</v>
      </c>
      <c r="I219" s="20" t="s">
        <v>2300</v>
      </c>
      <c r="J219" s="20" t="s">
        <v>37</v>
      </c>
      <c r="K219" s="20" t="s">
        <v>2301</v>
      </c>
      <c r="L219" s="20" t="s">
        <v>2302</v>
      </c>
      <c r="M219" s="20" t="s">
        <v>37</v>
      </c>
      <c r="N219" s="20" t="s">
        <v>2207</v>
      </c>
      <c r="O219" s="20" t="s">
        <v>37</v>
      </c>
      <c r="P219" s="20" t="s">
        <v>1682</v>
      </c>
    </row>
    <row r="220" ht="46" customHeight="1" spans="1:16" x14ac:dyDescent="0.25">
      <c r="A220" s="17" t="s">
        <v>2727</v>
      </c>
      <c r="B220" s="17" t="s">
        <v>59</v>
      </c>
      <c r="C220" s="17" t="s">
        <v>1719</v>
      </c>
      <c r="D220" s="17" t="s">
        <v>2728</v>
      </c>
      <c r="E220" s="17" t="s">
        <v>2299</v>
      </c>
      <c r="F220" s="17" t="s">
        <v>1721</v>
      </c>
      <c r="G220" s="17" t="s">
        <v>1723</v>
      </c>
      <c r="H220" s="17" t="s">
        <v>1682</v>
      </c>
      <c r="I220" s="17" t="s">
        <v>2300</v>
      </c>
      <c r="J220" s="17" t="s">
        <v>37</v>
      </c>
      <c r="K220" s="17" t="s">
        <v>2301</v>
      </c>
      <c r="L220" s="17" t="s">
        <v>2302</v>
      </c>
      <c r="M220" s="17" t="s">
        <v>37</v>
      </c>
      <c r="N220" s="17" t="s">
        <v>2207</v>
      </c>
      <c r="O220" s="17" t="s">
        <v>37</v>
      </c>
      <c r="P220" s="17" t="s">
        <v>1682</v>
      </c>
    </row>
    <row r="221" ht="46" customHeight="1" spans="1:16" x14ac:dyDescent="0.25">
      <c r="A221" s="20" t="s">
        <v>2729</v>
      </c>
      <c r="B221" s="20" t="s">
        <v>59</v>
      </c>
      <c r="C221" s="20" t="s">
        <v>1726</v>
      </c>
      <c r="D221" s="20" t="s">
        <v>2730</v>
      </c>
      <c r="E221" s="20" t="s">
        <v>2299</v>
      </c>
      <c r="F221" s="20" t="s">
        <v>1728</v>
      </c>
      <c r="G221" s="20" t="s">
        <v>1730</v>
      </c>
      <c r="H221" s="20" t="s">
        <v>1682</v>
      </c>
      <c r="I221" s="20" t="s">
        <v>2300</v>
      </c>
      <c r="J221" s="20" t="s">
        <v>37</v>
      </c>
      <c r="K221" s="20" t="s">
        <v>2301</v>
      </c>
      <c r="L221" s="20" t="s">
        <v>2302</v>
      </c>
      <c r="M221" s="20" t="s">
        <v>37</v>
      </c>
      <c r="N221" s="20" t="s">
        <v>2207</v>
      </c>
      <c r="O221" s="20" t="s">
        <v>37</v>
      </c>
      <c r="P221" s="20" t="s">
        <v>1682</v>
      </c>
    </row>
    <row r="222" ht="46" customHeight="1" spans="1:16" x14ac:dyDescent="0.25">
      <c r="A222" s="17" t="s">
        <v>2731</v>
      </c>
      <c r="B222" s="17" t="s">
        <v>59</v>
      </c>
      <c r="C222" s="17" t="s">
        <v>1733</v>
      </c>
      <c r="D222" s="17" t="s">
        <v>2732</v>
      </c>
      <c r="E222" s="17" t="s">
        <v>2299</v>
      </c>
      <c r="F222" s="17" t="s">
        <v>1735</v>
      </c>
      <c r="G222" s="17" t="s">
        <v>1737</v>
      </c>
      <c r="H222" s="17" t="s">
        <v>1682</v>
      </c>
      <c r="I222" s="17" t="s">
        <v>2300</v>
      </c>
      <c r="J222" s="17" t="s">
        <v>37</v>
      </c>
      <c r="K222" s="17" t="s">
        <v>2301</v>
      </c>
      <c r="L222" s="17" t="s">
        <v>2302</v>
      </c>
      <c r="M222" s="17" t="s">
        <v>37</v>
      </c>
      <c r="N222" s="17" t="s">
        <v>2207</v>
      </c>
      <c r="O222" s="17" t="s">
        <v>37</v>
      </c>
      <c r="P222" s="17" t="s">
        <v>1682</v>
      </c>
    </row>
    <row r="223" ht="46" customHeight="1" spans="1:16" x14ac:dyDescent="0.25">
      <c r="A223" s="20" t="s">
        <v>2733</v>
      </c>
      <c r="B223" s="20" t="s">
        <v>59</v>
      </c>
      <c r="C223" s="20" t="s">
        <v>1740</v>
      </c>
      <c r="D223" s="20" t="s">
        <v>2734</v>
      </c>
      <c r="E223" s="20" t="s">
        <v>2299</v>
      </c>
      <c r="F223" s="20" t="s">
        <v>1742</v>
      </c>
      <c r="G223" s="20" t="s">
        <v>1744</v>
      </c>
      <c r="H223" s="20" t="s">
        <v>1682</v>
      </c>
      <c r="I223" s="20" t="s">
        <v>2300</v>
      </c>
      <c r="J223" s="20" t="s">
        <v>37</v>
      </c>
      <c r="K223" s="20" t="s">
        <v>2301</v>
      </c>
      <c r="L223" s="20" t="s">
        <v>2302</v>
      </c>
      <c r="M223" s="20" t="s">
        <v>37</v>
      </c>
      <c r="N223" s="20" t="s">
        <v>2207</v>
      </c>
      <c r="O223" s="20" t="s">
        <v>37</v>
      </c>
      <c r="P223" s="20" t="s">
        <v>1682</v>
      </c>
    </row>
    <row r="224" ht="46" customHeight="1" spans="1:16" x14ac:dyDescent="0.25">
      <c r="A224" s="17" t="s">
        <v>2735</v>
      </c>
      <c r="B224" s="17" t="s">
        <v>59</v>
      </c>
      <c r="C224" s="17" t="s">
        <v>1747</v>
      </c>
      <c r="D224" s="17" t="s">
        <v>2736</v>
      </c>
      <c r="E224" s="17" t="s">
        <v>2299</v>
      </c>
      <c r="F224" s="17" t="s">
        <v>1749</v>
      </c>
      <c r="G224" s="17" t="s">
        <v>1751</v>
      </c>
      <c r="H224" s="17" t="s">
        <v>1682</v>
      </c>
      <c r="I224" s="17" t="s">
        <v>2300</v>
      </c>
      <c r="J224" s="17" t="s">
        <v>37</v>
      </c>
      <c r="K224" s="17" t="s">
        <v>2301</v>
      </c>
      <c r="L224" s="17" t="s">
        <v>2302</v>
      </c>
      <c r="M224" s="17" t="s">
        <v>37</v>
      </c>
      <c r="N224" s="17" t="s">
        <v>2207</v>
      </c>
      <c r="O224" s="17" t="s">
        <v>37</v>
      </c>
      <c r="P224" s="17" t="s">
        <v>1682</v>
      </c>
    </row>
    <row r="225" ht="46" customHeight="1" spans="1:16" x14ac:dyDescent="0.25">
      <c r="A225" s="20" t="s">
        <v>2737</v>
      </c>
      <c r="B225" s="20" t="s">
        <v>59</v>
      </c>
      <c r="C225" s="20" t="s">
        <v>1754</v>
      </c>
      <c r="D225" s="20" t="s">
        <v>2738</v>
      </c>
      <c r="E225" s="20" t="s">
        <v>2299</v>
      </c>
      <c r="F225" s="20" t="s">
        <v>1756</v>
      </c>
      <c r="G225" s="20" t="s">
        <v>1758</v>
      </c>
      <c r="H225" s="20" t="s">
        <v>1682</v>
      </c>
      <c r="I225" s="20" t="s">
        <v>2300</v>
      </c>
      <c r="J225" s="20" t="s">
        <v>37</v>
      </c>
      <c r="K225" s="20" t="s">
        <v>2301</v>
      </c>
      <c r="L225" s="20" t="s">
        <v>2302</v>
      </c>
      <c r="M225" s="20" t="s">
        <v>37</v>
      </c>
      <c r="N225" s="20" t="s">
        <v>2207</v>
      </c>
      <c r="O225" s="20" t="s">
        <v>37</v>
      </c>
      <c r="P225" s="20" t="s">
        <v>1682</v>
      </c>
    </row>
    <row r="226" ht="46" customHeight="1" spans="1:16" x14ac:dyDescent="0.25">
      <c r="A226" s="17" t="s">
        <v>2739</v>
      </c>
      <c r="B226" s="17" t="s">
        <v>59</v>
      </c>
      <c r="C226" s="17" t="s">
        <v>1761</v>
      </c>
      <c r="D226" s="17" t="s">
        <v>2740</v>
      </c>
      <c r="E226" s="17" t="s">
        <v>2299</v>
      </c>
      <c r="F226" s="17" t="s">
        <v>1763</v>
      </c>
      <c r="G226" s="17" t="s">
        <v>1765</v>
      </c>
      <c r="H226" s="17" t="s">
        <v>1682</v>
      </c>
      <c r="I226" s="17" t="s">
        <v>2300</v>
      </c>
      <c r="J226" s="17" t="s">
        <v>37</v>
      </c>
      <c r="K226" s="17" t="s">
        <v>2301</v>
      </c>
      <c r="L226" s="17" t="s">
        <v>2302</v>
      </c>
      <c r="M226" s="17" t="s">
        <v>37</v>
      </c>
      <c r="N226" s="17" t="s">
        <v>2207</v>
      </c>
      <c r="O226" s="17" t="s">
        <v>37</v>
      </c>
      <c r="P226" s="17" t="s">
        <v>1682</v>
      </c>
    </row>
    <row r="227" ht="46" customHeight="1" spans="1:16" x14ac:dyDescent="0.25">
      <c r="A227" s="20" t="s">
        <v>2741</v>
      </c>
      <c r="B227" s="20" t="s">
        <v>59</v>
      </c>
      <c r="C227" s="20" t="s">
        <v>1768</v>
      </c>
      <c r="D227" s="20" t="s">
        <v>2742</v>
      </c>
      <c r="E227" s="20" t="s">
        <v>2299</v>
      </c>
      <c r="F227" s="20" t="s">
        <v>1770</v>
      </c>
      <c r="G227" s="20" t="s">
        <v>1772</v>
      </c>
      <c r="H227" s="20" t="s">
        <v>1682</v>
      </c>
      <c r="I227" s="20" t="s">
        <v>2300</v>
      </c>
      <c r="J227" s="20" t="s">
        <v>37</v>
      </c>
      <c r="K227" s="20" t="s">
        <v>2301</v>
      </c>
      <c r="L227" s="20" t="s">
        <v>2302</v>
      </c>
      <c r="M227" s="20" t="s">
        <v>37</v>
      </c>
      <c r="N227" s="20" t="s">
        <v>2207</v>
      </c>
      <c r="O227" s="20" t="s">
        <v>37</v>
      </c>
      <c r="P227" s="20" t="s">
        <v>1682</v>
      </c>
    </row>
    <row r="228" ht="46" customHeight="1" spans="1:16" x14ac:dyDescent="0.25">
      <c r="A228" s="17" t="s">
        <v>2743</v>
      </c>
      <c r="B228" s="17" t="s">
        <v>59</v>
      </c>
      <c r="C228" s="17" t="s">
        <v>1508</v>
      </c>
      <c r="D228" s="17" t="s">
        <v>2668</v>
      </c>
      <c r="E228" s="17" t="s">
        <v>2299</v>
      </c>
      <c r="F228" s="17" t="s">
        <v>1776</v>
      </c>
      <c r="G228" s="17" t="s">
        <v>1777</v>
      </c>
      <c r="H228" s="17" t="s">
        <v>1682</v>
      </c>
      <c r="I228" s="17" t="s">
        <v>2300</v>
      </c>
      <c r="J228" s="17" t="s">
        <v>37</v>
      </c>
      <c r="K228" s="17" t="s">
        <v>2301</v>
      </c>
      <c r="L228" s="17" t="s">
        <v>2302</v>
      </c>
      <c r="M228" s="17" t="s">
        <v>37</v>
      </c>
      <c r="N228" s="17" t="s">
        <v>2207</v>
      </c>
      <c r="O228" s="17" t="s">
        <v>37</v>
      </c>
      <c r="P228" s="17" t="s">
        <v>1682</v>
      </c>
    </row>
    <row r="229" ht="46" customHeight="1" spans="1:16" x14ac:dyDescent="0.25">
      <c r="A229" s="20" t="s">
        <v>2744</v>
      </c>
      <c r="B229" s="20" t="s">
        <v>59</v>
      </c>
      <c r="C229" s="20" t="s">
        <v>1780</v>
      </c>
      <c r="D229" s="20" t="s">
        <v>2745</v>
      </c>
      <c r="E229" s="20" t="s">
        <v>2299</v>
      </c>
      <c r="F229" s="20" t="s">
        <v>1782</v>
      </c>
      <c r="G229" s="20" t="s">
        <v>1784</v>
      </c>
      <c r="H229" s="20" t="s">
        <v>1682</v>
      </c>
      <c r="I229" s="20" t="s">
        <v>2300</v>
      </c>
      <c r="J229" s="20" t="s">
        <v>37</v>
      </c>
      <c r="K229" s="20" t="s">
        <v>2301</v>
      </c>
      <c r="L229" s="20" t="s">
        <v>2302</v>
      </c>
      <c r="M229" s="20" t="s">
        <v>37</v>
      </c>
      <c r="N229" s="20" t="s">
        <v>2207</v>
      </c>
      <c r="O229" s="20" t="s">
        <v>37</v>
      </c>
      <c r="P229" s="20" t="s">
        <v>1682</v>
      </c>
    </row>
    <row r="230" ht="46" customHeight="1" spans="1:16" x14ac:dyDescent="0.25">
      <c r="A230" s="17" t="s">
        <v>2746</v>
      </c>
      <c r="B230" s="17" t="s">
        <v>59</v>
      </c>
      <c r="C230" s="17" t="s">
        <v>1787</v>
      </c>
      <c r="D230" s="17" t="s">
        <v>2747</v>
      </c>
      <c r="E230" s="17" t="s">
        <v>2299</v>
      </c>
      <c r="F230" s="17" t="s">
        <v>1789</v>
      </c>
      <c r="G230" s="17" t="s">
        <v>1791</v>
      </c>
      <c r="H230" s="17" t="s">
        <v>1682</v>
      </c>
      <c r="I230" s="17" t="s">
        <v>2300</v>
      </c>
      <c r="J230" s="17" t="s">
        <v>37</v>
      </c>
      <c r="K230" s="17" t="s">
        <v>2301</v>
      </c>
      <c r="L230" s="17" t="s">
        <v>2302</v>
      </c>
      <c r="M230" s="17" t="s">
        <v>37</v>
      </c>
      <c r="N230" s="17" t="s">
        <v>2207</v>
      </c>
      <c r="O230" s="17" t="s">
        <v>37</v>
      </c>
      <c r="P230" s="17" t="s">
        <v>1682</v>
      </c>
    </row>
    <row r="231" ht="46" customHeight="1" spans="1:16" x14ac:dyDescent="0.25">
      <c r="A231" s="20" t="s">
        <v>2748</v>
      </c>
      <c r="B231" s="20" t="s">
        <v>59</v>
      </c>
      <c r="C231" s="20" t="s">
        <v>53</v>
      </c>
      <c r="D231" s="20" t="s">
        <v>2749</v>
      </c>
      <c r="E231" s="20" t="s">
        <v>2299</v>
      </c>
      <c r="F231" s="20" t="s">
        <v>1795</v>
      </c>
      <c r="G231" s="20" t="s">
        <v>1797</v>
      </c>
      <c r="H231" s="20" t="s">
        <v>1682</v>
      </c>
      <c r="I231" s="20" t="s">
        <v>2300</v>
      </c>
      <c r="J231" s="20" t="s">
        <v>37</v>
      </c>
      <c r="K231" s="20" t="s">
        <v>2301</v>
      </c>
      <c r="L231" s="20" t="s">
        <v>2302</v>
      </c>
      <c r="M231" s="20" t="s">
        <v>37</v>
      </c>
      <c r="N231" s="20" t="s">
        <v>2207</v>
      </c>
      <c r="O231" s="20" t="s">
        <v>37</v>
      </c>
      <c r="P231" s="20" t="s">
        <v>1682</v>
      </c>
    </row>
    <row r="232" ht="46" customHeight="1" spans="1:16" x14ac:dyDescent="0.25">
      <c r="A232" s="17" t="s">
        <v>2750</v>
      </c>
      <c r="B232" s="17" t="s">
        <v>59</v>
      </c>
      <c r="C232" s="17" t="s">
        <v>1800</v>
      </c>
      <c r="D232" s="17" t="s">
        <v>2751</v>
      </c>
      <c r="E232" s="17" t="s">
        <v>2299</v>
      </c>
      <c r="F232" s="17" t="s">
        <v>1802</v>
      </c>
      <c r="G232" s="17" t="s">
        <v>1804</v>
      </c>
      <c r="H232" s="17" t="s">
        <v>1682</v>
      </c>
      <c r="I232" s="17" t="s">
        <v>2300</v>
      </c>
      <c r="J232" s="17" t="s">
        <v>37</v>
      </c>
      <c r="K232" s="17" t="s">
        <v>2301</v>
      </c>
      <c r="L232" s="17" t="s">
        <v>2302</v>
      </c>
      <c r="M232" s="17" t="s">
        <v>37</v>
      </c>
      <c r="N232" s="17" t="s">
        <v>2207</v>
      </c>
      <c r="O232" s="17" t="s">
        <v>37</v>
      </c>
      <c r="P232" s="17" t="s">
        <v>1682</v>
      </c>
    </row>
    <row r="233" ht="46" customHeight="1" spans="1:16" x14ac:dyDescent="0.25">
      <c r="A233" s="20" t="s">
        <v>2752</v>
      </c>
      <c r="B233" s="20" t="s">
        <v>59</v>
      </c>
      <c r="C233" s="20" t="s">
        <v>1807</v>
      </c>
      <c r="D233" s="20" t="s">
        <v>2753</v>
      </c>
      <c r="E233" s="20" t="s">
        <v>2299</v>
      </c>
      <c r="F233" s="20" t="s">
        <v>1809</v>
      </c>
      <c r="G233" s="20" t="s">
        <v>1811</v>
      </c>
      <c r="H233" s="20" t="s">
        <v>1682</v>
      </c>
      <c r="I233" s="20" t="s">
        <v>2300</v>
      </c>
      <c r="J233" s="20" t="s">
        <v>37</v>
      </c>
      <c r="K233" s="20" t="s">
        <v>2301</v>
      </c>
      <c r="L233" s="20" t="s">
        <v>2302</v>
      </c>
      <c r="M233" s="20" t="s">
        <v>37</v>
      </c>
      <c r="N233" s="20" t="s">
        <v>2207</v>
      </c>
      <c r="O233" s="20" t="s">
        <v>37</v>
      </c>
      <c r="P233" s="20" t="s">
        <v>1682</v>
      </c>
    </row>
    <row r="234" ht="46" customHeight="1" spans="1:16" x14ac:dyDescent="0.25">
      <c r="A234" s="17" t="s">
        <v>2754</v>
      </c>
      <c r="B234" s="17" t="s">
        <v>60</v>
      </c>
      <c r="C234" s="17" t="s">
        <v>1814</v>
      </c>
      <c r="D234" s="17" t="s">
        <v>2755</v>
      </c>
      <c r="E234" s="17" t="s">
        <v>2299</v>
      </c>
      <c r="F234" s="17" t="s">
        <v>1816</v>
      </c>
      <c r="G234" s="17" t="s">
        <v>1818</v>
      </c>
      <c r="H234" s="17" t="s">
        <v>1819</v>
      </c>
      <c r="I234" s="17" t="s">
        <v>2300</v>
      </c>
      <c r="J234" s="17" t="s">
        <v>37</v>
      </c>
      <c r="K234" s="17" t="s">
        <v>2301</v>
      </c>
      <c r="L234" s="17" t="s">
        <v>2302</v>
      </c>
      <c r="M234" s="17" t="s">
        <v>37</v>
      </c>
      <c r="N234" s="17" t="s">
        <v>2207</v>
      </c>
      <c r="O234" s="17" t="s">
        <v>37</v>
      </c>
      <c r="P234" s="17" t="s">
        <v>1819</v>
      </c>
    </row>
    <row r="235" ht="46" customHeight="1" spans="1:16" x14ac:dyDescent="0.25">
      <c r="A235" s="20" t="s">
        <v>2756</v>
      </c>
      <c r="B235" s="20" t="s">
        <v>60</v>
      </c>
      <c r="C235" s="20" t="s">
        <v>1821</v>
      </c>
      <c r="D235" s="20" t="s">
        <v>2757</v>
      </c>
      <c r="E235" s="20" t="s">
        <v>2299</v>
      </c>
      <c r="F235" s="20" t="s">
        <v>1823</v>
      </c>
      <c r="G235" s="20" t="s">
        <v>1825</v>
      </c>
      <c r="H235" s="20" t="s">
        <v>1819</v>
      </c>
      <c r="I235" s="20" t="s">
        <v>2300</v>
      </c>
      <c r="J235" s="20" t="s">
        <v>37</v>
      </c>
      <c r="K235" s="20" t="s">
        <v>2301</v>
      </c>
      <c r="L235" s="20" t="s">
        <v>2302</v>
      </c>
      <c r="M235" s="20" t="s">
        <v>37</v>
      </c>
      <c r="N235" s="20" t="s">
        <v>2207</v>
      </c>
      <c r="O235" s="20" t="s">
        <v>37</v>
      </c>
      <c r="P235" s="20" t="s">
        <v>1819</v>
      </c>
    </row>
    <row r="236" ht="46" customHeight="1" spans="1:16" x14ac:dyDescent="0.25">
      <c r="A236" s="17" t="s">
        <v>2758</v>
      </c>
      <c r="B236" s="17" t="s">
        <v>60</v>
      </c>
      <c r="C236" s="17" t="s">
        <v>1828</v>
      </c>
      <c r="D236" s="17" t="s">
        <v>2759</v>
      </c>
      <c r="E236" s="17" t="s">
        <v>2299</v>
      </c>
      <c r="F236" s="17" t="s">
        <v>1830</v>
      </c>
      <c r="G236" s="17" t="s">
        <v>1832</v>
      </c>
      <c r="H236" s="17" t="s">
        <v>1819</v>
      </c>
      <c r="I236" s="17" t="s">
        <v>2300</v>
      </c>
      <c r="J236" s="17" t="s">
        <v>37</v>
      </c>
      <c r="K236" s="17" t="s">
        <v>2301</v>
      </c>
      <c r="L236" s="17" t="s">
        <v>2302</v>
      </c>
      <c r="M236" s="17" t="s">
        <v>37</v>
      </c>
      <c r="N236" s="17" t="s">
        <v>2207</v>
      </c>
      <c r="O236" s="17" t="s">
        <v>37</v>
      </c>
      <c r="P236" s="17" t="s">
        <v>1819</v>
      </c>
    </row>
    <row r="237" ht="46" customHeight="1" spans="1:16" x14ac:dyDescent="0.25">
      <c r="A237" s="20" t="s">
        <v>2760</v>
      </c>
      <c r="B237" s="20" t="s">
        <v>60</v>
      </c>
      <c r="C237" s="20" t="s">
        <v>1835</v>
      </c>
      <c r="D237" s="20" t="s">
        <v>2761</v>
      </c>
      <c r="E237" s="20" t="s">
        <v>2299</v>
      </c>
      <c r="F237" s="20" t="s">
        <v>1837</v>
      </c>
      <c r="G237" s="20" t="s">
        <v>1839</v>
      </c>
      <c r="H237" s="20" t="s">
        <v>1819</v>
      </c>
      <c r="I237" s="20" t="s">
        <v>2300</v>
      </c>
      <c r="J237" s="20" t="s">
        <v>37</v>
      </c>
      <c r="K237" s="20" t="s">
        <v>2301</v>
      </c>
      <c r="L237" s="20" t="s">
        <v>2302</v>
      </c>
      <c r="M237" s="20" t="s">
        <v>37</v>
      </c>
      <c r="N237" s="20" t="s">
        <v>2207</v>
      </c>
      <c r="O237" s="20" t="s">
        <v>37</v>
      </c>
      <c r="P237" s="20" t="s">
        <v>1819</v>
      </c>
    </row>
    <row r="238" ht="46" customHeight="1" spans="1:16" x14ac:dyDescent="0.25">
      <c r="A238" s="17" t="s">
        <v>2762</v>
      </c>
      <c r="B238" s="17" t="s">
        <v>60</v>
      </c>
      <c r="C238" s="17" t="s">
        <v>1842</v>
      </c>
      <c r="D238" s="17" t="s">
        <v>2763</v>
      </c>
      <c r="E238" s="17" t="s">
        <v>2299</v>
      </c>
      <c r="F238" s="17" t="s">
        <v>1844</v>
      </c>
      <c r="G238" s="17" t="s">
        <v>1846</v>
      </c>
      <c r="H238" s="17" t="s">
        <v>1819</v>
      </c>
      <c r="I238" s="17" t="s">
        <v>2300</v>
      </c>
      <c r="J238" s="17" t="s">
        <v>37</v>
      </c>
      <c r="K238" s="17" t="s">
        <v>2301</v>
      </c>
      <c r="L238" s="17" t="s">
        <v>2302</v>
      </c>
      <c r="M238" s="17" t="s">
        <v>37</v>
      </c>
      <c r="N238" s="17" t="s">
        <v>2207</v>
      </c>
      <c r="O238" s="17" t="s">
        <v>37</v>
      </c>
      <c r="P238" s="17" t="s">
        <v>1819</v>
      </c>
    </row>
    <row r="239" ht="46" customHeight="1" spans="1:16" x14ac:dyDescent="0.25">
      <c r="A239" s="20" t="s">
        <v>2764</v>
      </c>
      <c r="B239" s="20" t="s">
        <v>60</v>
      </c>
      <c r="C239" s="20" t="s">
        <v>1849</v>
      </c>
      <c r="D239" s="20" t="s">
        <v>2765</v>
      </c>
      <c r="E239" s="20" t="s">
        <v>2299</v>
      </c>
      <c r="F239" s="20" t="s">
        <v>1851</v>
      </c>
      <c r="G239" s="20" t="s">
        <v>1853</v>
      </c>
      <c r="H239" s="20" t="s">
        <v>1819</v>
      </c>
      <c r="I239" s="20" t="s">
        <v>2300</v>
      </c>
      <c r="J239" s="20" t="s">
        <v>37</v>
      </c>
      <c r="K239" s="20" t="s">
        <v>2301</v>
      </c>
      <c r="L239" s="20" t="s">
        <v>2302</v>
      </c>
      <c r="M239" s="20" t="s">
        <v>37</v>
      </c>
      <c r="N239" s="20" t="s">
        <v>2207</v>
      </c>
      <c r="O239" s="20" t="s">
        <v>37</v>
      </c>
      <c r="P239" s="20" t="s">
        <v>1819</v>
      </c>
    </row>
    <row r="240" ht="46" customHeight="1" spans="1:16" x14ac:dyDescent="0.25">
      <c r="A240" s="17" t="s">
        <v>2766</v>
      </c>
      <c r="B240" s="17" t="s">
        <v>60</v>
      </c>
      <c r="C240" s="17" t="s">
        <v>1856</v>
      </c>
      <c r="D240" s="17" t="s">
        <v>2767</v>
      </c>
      <c r="E240" s="17" t="s">
        <v>2299</v>
      </c>
      <c r="F240" s="17" t="s">
        <v>1858</v>
      </c>
      <c r="G240" s="17" t="s">
        <v>1860</v>
      </c>
      <c r="H240" s="17" t="s">
        <v>1819</v>
      </c>
      <c r="I240" s="17" t="s">
        <v>2300</v>
      </c>
      <c r="J240" s="17" t="s">
        <v>37</v>
      </c>
      <c r="K240" s="17" t="s">
        <v>2301</v>
      </c>
      <c r="L240" s="17" t="s">
        <v>2302</v>
      </c>
      <c r="M240" s="17" t="s">
        <v>37</v>
      </c>
      <c r="N240" s="17" t="s">
        <v>2207</v>
      </c>
      <c r="O240" s="17" t="s">
        <v>37</v>
      </c>
      <c r="P240" s="17" t="s">
        <v>1819</v>
      </c>
    </row>
    <row r="241" ht="46" customHeight="1" spans="1:16" x14ac:dyDescent="0.25">
      <c r="A241" s="20" t="s">
        <v>2768</v>
      </c>
      <c r="B241" s="20" t="s">
        <v>60</v>
      </c>
      <c r="C241" s="20" t="s">
        <v>1863</v>
      </c>
      <c r="D241" s="20" t="s">
        <v>2769</v>
      </c>
      <c r="E241" s="20" t="s">
        <v>2299</v>
      </c>
      <c r="F241" s="20" t="s">
        <v>1865</v>
      </c>
      <c r="G241" s="20" t="s">
        <v>1867</v>
      </c>
      <c r="H241" s="20" t="s">
        <v>1819</v>
      </c>
      <c r="I241" s="20" t="s">
        <v>2300</v>
      </c>
      <c r="J241" s="20" t="s">
        <v>37</v>
      </c>
      <c r="K241" s="20" t="s">
        <v>2301</v>
      </c>
      <c r="L241" s="20" t="s">
        <v>2302</v>
      </c>
      <c r="M241" s="20" t="s">
        <v>37</v>
      </c>
      <c r="N241" s="20" t="s">
        <v>2207</v>
      </c>
      <c r="O241" s="20" t="s">
        <v>37</v>
      </c>
      <c r="P241" s="20" t="s">
        <v>1819</v>
      </c>
    </row>
  </sheetData>
  <autoFilter ref="A5:P241"/>
  <mergeCells count="2">
    <mergeCell ref="A1:P1"/>
    <mergeCell ref="A2:P2"/>
  </mergeCells>
  <dataValidations count="8">
    <dataValidation type="list" allowBlank="1" showErrorMessage="1" error="Seleccione un valor de la lista." sqref="H10:H241">
      <formula1>'99_Listas'!$F$2:$F$17</formula1>
    </dataValidation>
    <dataValidation type="list" allowBlank="1" showErrorMessage="1" error="Seleccione un valor de la lista." sqref="H6:H241">
      <formula1>'99_Listas'!$F$2:$F$17</formula1>
    </dataValidation>
    <dataValidation type="list" allowBlank="1" showErrorMessage="1" error="Seleccione un valor de la lista." sqref="K10:K241">
      <formula1>'99_Listas'!$D$2:$D$6</formula1>
    </dataValidation>
    <dataValidation type="list" allowBlank="1" showErrorMessage="1" error="Seleccione un valor de la lista." sqref="K6:K241">
      <formula1>'99_Listas'!$D$2:$D$6</formula1>
    </dataValidation>
    <dataValidation type="list" allowBlank="1" showErrorMessage="1" error="Seleccione un valor de la lista." sqref="L10:L241">
      <formula1>'99_Listas'!$E$2:$E$6</formula1>
    </dataValidation>
    <dataValidation type="list" allowBlank="1" showErrorMessage="1" error="Seleccione un valor de la lista." sqref="L6:L241">
      <formula1>'99_Listas'!$E$2:$E$6</formula1>
    </dataValidation>
    <dataValidation type="list" allowBlank="1" showErrorMessage="1" error="Seleccione un valor de la lista." sqref="N10:N241">
      <formula1>'99_Listas'!$D$2:$D$6</formula1>
    </dataValidation>
    <dataValidation type="list" allowBlank="1" showErrorMessage="1" error="Seleccione un valor de la lista." sqref="N6:N241">
      <formula1>'99_Listas'!$D$2:$D$6</formula1>
    </dataValidation>
  </dataValidations>
  <pageMargins left="0.25" right="0.25" top="0.55" bottom="0.55" header="0.2" footer="0.2"/>
  <pageSetup paperSize="9" orientation="landscape" fitToWidth="1" fitToHeight="0"/>
  <headerFooter>
    <oddHeader>&amp;LGENTIA ERP&amp;CPlan de implementación&amp;R&amp;D</oddHeader>
    <oddFooter>&amp;LDocumento de trabajo&amp;CConfidencial&amp;R 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4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28" customWidth="1"/>
    <col min="4" max="4" width="44" customWidth="1"/>
    <col min="5" max="5" width="22" customWidth="1"/>
    <col min="6" max="6" width="18" customWidth="1"/>
    <col min="7" max="7" width="14" customWidth="1"/>
    <col min="8" max="8" width="10" customWidth="1"/>
    <col min="9" max="9" width="26" customWidth="1"/>
    <col min="10" max="11" width="12" customWidth="1"/>
    <col min="12" max="12" width="13" customWidth="1"/>
    <col min="13" max="13" width="14" customWidth="1"/>
    <col min="14" max="14" width="16" customWidth="1"/>
    <col min="15" max="15" width="28" customWidth="1"/>
    <col min="16" max="16" width="25" customWidth="1"/>
  </cols>
  <sheetData>
    <row r="1" ht="34" customHeight="1" spans="1:16" x14ac:dyDescent="0.25">
      <c r="A1" s="8" t="s">
        <v>2770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ht="26" customHeight="1" spans="1:16" x14ac:dyDescent="0.25">
      <c r="A2" s="9" t="s">
        <v>2771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5" ht="32" customHeight="1" spans="1:16" x14ac:dyDescent="0.25">
      <c r="A5" s="14" t="s">
        <v>65</v>
      </c>
      <c r="B5" s="14" t="s">
        <v>2772</v>
      </c>
      <c r="C5" s="14" t="s">
        <v>2773</v>
      </c>
      <c r="D5" s="14" t="s">
        <v>2774</v>
      </c>
      <c r="E5" s="14" t="s">
        <v>2775</v>
      </c>
      <c r="F5" s="14" t="s">
        <v>2776</v>
      </c>
      <c r="G5" s="14" t="s">
        <v>2292</v>
      </c>
      <c r="H5" s="14" t="s">
        <v>2777</v>
      </c>
      <c r="I5" s="14" t="s">
        <v>2778</v>
      </c>
      <c r="J5" s="14" t="s">
        <v>2779</v>
      </c>
      <c r="K5" s="14" t="s">
        <v>2780</v>
      </c>
      <c r="L5" s="14" t="s">
        <v>2781</v>
      </c>
      <c r="M5" s="14" t="s">
        <v>2782</v>
      </c>
      <c r="N5" s="14" t="s">
        <v>85</v>
      </c>
      <c r="O5" s="14" t="s">
        <v>2142</v>
      </c>
      <c r="P5" s="14" t="s">
        <v>88</v>
      </c>
    </row>
    <row r="6" ht="46" customHeight="1" spans="1:16" x14ac:dyDescent="0.25">
      <c r="A6" s="17" t="s">
        <v>2783</v>
      </c>
      <c r="B6" s="17" t="s">
        <v>2784</v>
      </c>
      <c r="C6" s="17" t="s">
        <v>2785</v>
      </c>
      <c r="D6" s="17" t="s">
        <v>2786</v>
      </c>
      <c r="E6" s="17" t="s">
        <v>2787</v>
      </c>
      <c r="F6" s="17" t="s">
        <v>2788</v>
      </c>
      <c r="G6" s="18">
        <v>46492.75</v>
      </c>
      <c r="H6" s="17">
        <v>2</v>
      </c>
      <c r="I6" s="17" t="s">
        <v>2789</v>
      </c>
      <c r="J6" s="17" t="s">
        <v>37</v>
      </c>
      <c r="K6" s="17" t="s">
        <v>37</v>
      </c>
      <c r="L6" s="19">
        <f>IFERROR(K6/J6,0)</f>
        <v>0</v>
      </c>
      <c r="M6" s="17" t="s">
        <v>37</v>
      </c>
      <c r="N6" s="17" t="s">
        <v>102</v>
      </c>
      <c r="O6" s="17" t="s">
        <v>37</v>
      </c>
      <c r="P6" s="17" t="s">
        <v>37</v>
      </c>
    </row>
    <row r="7" ht="46" customHeight="1" spans="1:16" x14ac:dyDescent="0.25">
      <c r="A7" s="20" t="s">
        <v>2790</v>
      </c>
      <c r="B7" s="20" t="s">
        <v>2791</v>
      </c>
      <c r="C7" s="20" t="s">
        <v>2792</v>
      </c>
      <c r="D7" s="20" t="s">
        <v>2793</v>
      </c>
      <c r="E7" s="20" t="s">
        <v>2787</v>
      </c>
      <c r="F7" s="20" t="s">
        <v>2788</v>
      </c>
      <c r="G7" s="21">
        <v>46496.75</v>
      </c>
      <c r="H7" s="20">
        <v>2</v>
      </c>
      <c r="I7" s="20" t="s">
        <v>2789</v>
      </c>
      <c r="J7" s="20" t="s">
        <v>37</v>
      </c>
      <c r="K7" s="20" t="s">
        <v>37</v>
      </c>
      <c r="L7" s="22">
        <f>IFERROR(K7/J7,0)</f>
        <v>0</v>
      </c>
      <c r="M7" s="20" t="s">
        <v>37</v>
      </c>
      <c r="N7" s="20" t="s">
        <v>102</v>
      </c>
      <c r="O7" s="20" t="s">
        <v>37</v>
      </c>
      <c r="P7" s="20" t="s">
        <v>37</v>
      </c>
    </row>
    <row r="8" ht="46" customHeight="1" spans="1:16" x14ac:dyDescent="0.25">
      <c r="A8" s="17" t="s">
        <v>2794</v>
      </c>
      <c r="B8" s="17" t="s">
        <v>2795</v>
      </c>
      <c r="C8" s="17" t="s">
        <v>2796</v>
      </c>
      <c r="D8" s="17" t="s">
        <v>2797</v>
      </c>
      <c r="E8" s="17" t="s">
        <v>2787</v>
      </c>
      <c r="F8" s="17" t="s">
        <v>2788</v>
      </c>
      <c r="G8" s="18">
        <v>46498.75</v>
      </c>
      <c r="H8" s="17">
        <v>2</v>
      </c>
      <c r="I8" s="17" t="s">
        <v>2789</v>
      </c>
      <c r="J8" s="17" t="s">
        <v>37</v>
      </c>
      <c r="K8" s="17" t="s">
        <v>37</v>
      </c>
      <c r="L8" s="19">
        <f>IFERROR(K8/J8,0)</f>
        <v>0</v>
      </c>
      <c r="M8" s="17" t="s">
        <v>37</v>
      </c>
      <c r="N8" s="17" t="s">
        <v>102</v>
      </c>
      <c r="O8" s="17" t="s">
        <v>37</v>
      </c>
      <c r="P8" s="17" t="s">
        <v>37</v>
      </c>
    </row>
    <row r="9" ht="46" customHeight="1" spans="1:16" x14ac:dyDescent="0.25">
      <c r="A9" s="20" t="s">
        <v>2798</v>
      </c>
      <c r="B9" s="20" t="s">
        <v>2799</v>
      </c>
      <c r="C9" s="20" t="s">
        <v>2800</v>
      </c>
      <c r="D9" s="20" t="s">
        <v>2801</v>
      </c>
      <c r="E9" s="20" t="s">
        <v>2787</v>
      </c>
      <c r="F9" s="20" t="s">
        <v>2788</v>
      </c>
      <c r="G9" s="21">
        <v>46500.75</v>
      </c>
      <c r="H9" s="20">
        <v>2</v>
      </c>
      <c r="I9" s="20" t="s">
        <v>2789</v>
      </c>
      <c r="J9" s="20" t="s">
        <v>37</v>
      </c>
      <c r="K9" s="20" t="s">
        <v>37</v>
      </c>
      <c r="L9" s="22">
        <f>IFERROR(K9/J9,0)</f>
        <v>0</v>
      </c>
      <c r="M9" s="20" t="s">
        <v>37</v>
      </c>
      <c r="N9" s="20" t="s">
        <v>102</v>
      </c>
      <c r="O9" s="20" t="s">
        <v>37</v>
      </c>
      <c r="P9" s="20" t="s">
        <v>37</v>
      </c>
    </row>
    <row r="10" ht="46" customHeight="1" spans="1:16" x14ac:dyDescent="0.25">
      <c r="A10" s="17" t="s">
        <v>2802</v>
      </c>
      <c r="B10" s="17" t="s">
        <v>2803</v>
      </c>
      <c r="C10" s="17" t="s">
        <v>2804</v>
      </c>
      <c r="D10" s="17" t="s">
        <v>2805</v>
      </c>
      <c r="E10" s="17" t="s">
        <v>2787</v>
      </c>
      <c r="F10" s="17" t="s">
        <v>2788</v>
      </c>
      <c r="G10" s="18">
        <v>46504.75</v>
      </c>
      <c r="H10" s="17">
        <v>2</v>
      </c>
      <c r="I10" s="17" t="s">
        <v>2789</v>
      </c>
      <c r="J10" s="17" t="s">
        <v>37</v>
      </c>
      <c r="K10" s="17" t="s">
        <v>37</v>
      </c>
      <c r="L10" s="19">
        <f>IFERROR(K10/J10,0)</f>
        <v>0</v>
      </c>
      <c r="M10" s="17" t="s">
        <v>37</v>
      </c>
      <c r="N10" s="17" t="s">
        <v>102</v>
      </c>
      <c r="O10" s="17" t="s">
        <v>37</v>
      </c>
      <c r="P10" s="17" t="s">
        <v>37</v>
      </c>
    </row>
    <row r="11" ht="46" customHeight="1" spans="1:16" x14ac:dyDescent="0.25">
      <c r="A11" s="20" t="s">
        <v>2806</v>
      </c>
      <c r="B11" s="20" t="s">
        <v>2807</v>
      </c>
      <c r="C11" s="20" t="s">
        <v>785</v>
      </c>
      <c r="D11" s="20" t="s">
        <v>2808</v>
      </c>
      <c r="E11" s="20" t="s">
        <v>2787</v>
      </c>
      <c r="F11" s="20" t="s">
        <v>2788</v>
      </c>
      <c r="G11" s="21">
        <v>46506.75</v>
      </c>
      <c r="H11" s="20">
        <v>2</v>
      </c>
      <c r="I11" s="20" t="s">
        <v>2789</v>
      </c>
      <c r="J11" s="20" t="s">
        <v>37</v>
      </c>
      <c r="K11" s="20" t="s">
        <v>37</v>
      </c>
      <c r="L11" s="22">
        <f>IFERROR(K11/J11,0)</f>
        <v>0</v>
      </c>
      <c r="M11" s="20" t="s">
        <v>37</v>
      </c>
      <c r="N11" s="20" t="s">
        <v>102</v>
      </c>
      <c r="O11" s="20" t="s">
        <v>37</v>
      </c>
      <c r="P11" s="20" t="s">
        <v>37</v>
      </c>
    </row>
    <row r="12" ht="46" customHeight="1" spans="1:16" x14ac:dyDescent="0.25">
      <c r="A12" s="17" t="s">
        <v>2809</v>
      </c>
      <c r="B12" s="17" t="s">
        <v>2810</v>
      </c>
      <c r="C12" s="17" t="s">
        <v>883</v>
      </c>
      <c r="D12" s="17" t="s">
        <v>2811</v>
      </c>
      <c r="E12" s="17" t="s">
        <v>2787</v>
      </c>
      <c r="F12" s="17" t="s">
        <v>2788</v>
      </c>
      <c r="G12" s="18">
        <v>46510.75</v>
      </c>
      <c r="H12" s="17">
        <v>2</v>
      </c>
      <c r="I12" s="17" t="s">
        <v>2789</v>
      </c>
      <c r="J12" s="17" t="s">
        <v>37</v>
      </c>
      <c r="K12" s="17" t="s">
        <v>37</v>
      </c>
      <c r="L12" s="19">
        <f>IFERROR(K12/J12,0)</f>
        <v>0</v>
      </c>
      <c r="M12" s="17" t="s">
        <v>37</v>
      </c>
      <c r="N12" s="17" t="s">
        <v>102</v>
      </c>
      <c r="O12" s="17" t="s">
        <v>37</v>
      </c>
      <c r="P12" s="17" t="s">
        <v>37</v>
      </c>
    </row>
    <row r="13" ht="46" customHeight="1" spans="1:16" x14ac:dyDescent="0.25">
      <c r="A13" s="20" t="s">
        <v>2812</v>
      </c>
      <c r="B13" s="20" t="s">
        <v>1787</v>
      </c>
      <c r="C13" s="20" t="s">
        <v>2813</v>
      </c>
      <c r="D13" s="20" t="s">
        <v>2814</v>
      </c>
      <c r="E13" s="20" t="s">
        <v>2787</v>
      </c>
      <c r="F13" s="20" t="s">
        <v>2788</v>
      </c>
      <c r="G13" s="21">
        <v>46512.75</v>
      </c>
      <c r="H13" s="20">
        <v>2</v>
      </c>
      <c r="I13" s="20" t="s">
        <v>2789</v>
      </c>
      <c r="J13" s="20" t="s">
        <v>37</v>
      </c>
      <c r="K13" s="20" t="s">
        <v>37</v>
      </c>
      <c r="L13" s="22">
        <f>IFERROR(K13/J13,0)</f>
        <v>0</v>
      </c>
      <c r="M13" s="20" t="s">
        <v>37</v>
      </c>
      <c r="N13" s="20" t="s">
        <v>102</v>
      </c>
      <c r="O13" s="20" t="s">
        <v>37</v>
      </c>
      <c r="P13" s="20" t="s">
        <v>37</v>
      </c>
    </row>
    <row r="14" ht="46" customHeight="1" spans="1:16" x14ac:dyDescent="0.25">
      <c r="A14" s="17" t="s">
        <v>2815</v>
      </c>
      <c r="B14" s="17" t="s">
        <v>2816</v>
      </c>
      <c r="C14" s="17" t="s">
        <v>2817</v>
      </c>
      <c r="D14" s="17" t="s">
        <v>2818</v>
      </c>
      <c r="E14" s="17" t="s">
        <v>2787</v>
      </c>
      <c r="F14" s="17" t="s">
        <v>2788</v>
      </c>
      <c r="G14" s="18">
        <v>46514.75</v>
      </c>
      <c r="H14" s="17">
        <v>2</v>
      </c>
      <c r="I14" s="17" t="s">
        <v>2789</v>
      </c>
      <c r="J14" s="17" t="s">
        <v>37</v>
      </c>
      <c r="K14" s="17" t="s">
        <v>37</v>
      </c>
      <c r="L14" s="19">
        <f>IFERROR(K14/J14,0)</f>
        <v>0</v>
      </c>
      <c r="M14" s="17" t="s">
        <v>37</v>
      </c>
      <c r="N14" s="17" t="s">
        <v>102</v>
      </c>
      <c r="O14" s="17" t="s">
        <v>37</v>
      </c>
      <c r="P14" s="17" t="s">
        <v>37</v>
      </c>
    </row>
    <row r="15" ht="46" customHeight="1" spans="1:16" x14ac:dyDescent="0.25">
      <c r="A15" s="20" t="s">
        <v>2819</v>
      </c>
      <c r="B15" s="20" t="s">
        <v>1754</v>
      </c>
      <c r="C15" s="20" t="s">
        <v>52</v>
      </c>
      <c r="D15" s="20" t="s">
        <v>2820</v>
      </c>
      <c r="E15" s="20" t="s">
        <v>2787</v>
      </c>
      <c r="F15" s="20" t="s">
        <v>2788</v>
      </c>
      <c r="G15" s="21">
        <v>46518.75</v>
      </c>
      <c r="H15" s="20">
        <v>2</v>
      </c>
      <c r="I15" s="20" t="s">
        <v>2789</v>
      </c>
      <c r="J15" s="20" t="s">
        <v>37</v>
      </c>
      <c r="K15" s="20" t="s">
        <v>37</v>
      </c>
      <c r="L15" s="22">
        <f>IFERROR(K15/J15,0)</f>
        <v>0</v>
      </c>
      <c r="M15" s="20" t="s">
        <v>37</v>
      </c>
      <c r="N15" s="20" t="s">
        <v>102</v>
      </c>
      <c r="O15" s="20" t="s">
        <v>37</v>
      </c>
      <c r="P15" s="20" t="s">
        <v>37</v>
      </c>
    </row>
    <row r="16" ht="46" customHeight="1" spans="1:16" x14ac:dyDescent="0.25">
      <c r="A16" s="17" t="s">
        <v>2821</v>
      </c>
      <c r="B16" s="17" t="s">
        <v>2822</v>
      </c>
      <c r="C16" s="17" t="s">
        <v>52</v>
      </c>
      <c r="D16" s="17" t="s">
        <v>2823</v>
      </c>
      <c r="E16" s="17" t="s">
        <v>2787</v>
      </c>
      <c r="F16" s="17" t="s">
        <v>2788</v>
      </c>
      <c r="G16" s="18">
        <v>46520.75</v>
      </c>
      <c r="H16" s="17">
        <v>2</v>
      </c>
      <c r="I16" s="17" t="s">
        <v>2789</v>
      </c>
      <c r="J16" s="17" t="s">
        <v>37</v>
      </c>
      <c r="K16" s="17" t="s">
        <v>37</v>
      </c>
      <c r="L16" s="19">
        <f>IFERROR(K16/J16,0)</f>
        <v>0</v>
      </c>
      <c r="M16" s="17" t="s">
        <v>37</v>
      </c>
      <c r="N16" s="17" t="s">
        <v>102</v>
      </c>
      <c r="O16" s="17" t="s">
        <v>37</v>
      </c>
      <c r="P16" s="17" t="s">
        <v>37</v>
      </c>
    </row>
    <row r="17" ht="46" customHeight="1" spans="1:16" x14ac:dyDescent="0.25">
      <c r="A17" s="20" t="s">
        <v>2824</v>
      </c>
      <c r="B17" s="20" t="s">
        <v>53</v>
      </c>
      <c r="C17" s="20" t="s">
        <v>2825</v>
      </c>
      <c r="D17" s="20" t="s">
        <v>2826</v>
      </c>
      <c r="E17" s="20" t="s">
        <v>2787</v>
      </c>
      <c r="F17" s="20" t="s">
        <v>2788</v>
      </c>
      <c r="G17" s="21">
        <v>46524.75</v>
      </c>
      <c r="H17" s="20">
        <v>2</v>
      </c>
      <c r="I17" s="20" t="s">
        <v>2789</v>
      </c>
      <c r="J17" s="20" t="s">
        <v>37</v>
      </c>
      <c r="K17" s="20" t="s">
        <v>37</v>
      </c>
      <c r="L17" s="22">
        <f>IFERROR(K17/J17,0)</f>
        <v>0</v>
      </c>
      <c r="M17" s="20" t="s">
        <v>37</v>
      </c>
      <c r="N17" s="20" t="s">
        <v>102</v>
      </c>
      <c r="O17" s="20" t="s">
        <v>37</v>
      </c>
      <c r="P17" s="20" t="s">
        <v>37</v>
      </c>
    </row>
    <row r="18" ht="46" customHeight="1" spans="1:16" x14ac:dyDescent="0.25">
      <c r="A18" s="17" t="s">
        <v>2827</v>
      </c>
      <c r="B18" s="17" t="s">
        <v>54</v>
      </c>
      <c r="C18" s="17" t="s">
        <v>2828</v>
      </c>
      <c r="D18" s="17" t="s">
        <v>2829</v>
      </c>
      <c r="E18" s="17" t="s">
        <v>2787</v>
      </c>
      <c r="F18" s="17" t="s">
        <v>2788</v>
      </c>
      <c r="G18" s="18">
        <v>46526.75</v>
      </c>
      <c r="H18" s="17">
        <v>2</v>
      </c>
      <c r="I18" s="17" t="s">
        <v>2789</v>
      </c>
      <c r="J18" s="17" t="s">
        <v>37</v>
      </c>
      <c r="K18" s="17" t="s">
        <v>37</v>
      </c>
      <c r="L18" s="19">
        <f>IFERROR(K18/J18,0)</f>
        <v>0</v>
      </c>
      <c r="M18" s="17" t="s">
        <v>37</v>
      </c>
      <c r="N18" s="17" t="s">
        <v>102</v>
      </c>
      <c r="O18" s="17" t="s">
        <v>37</v>
      </c>
      <c r="P18" s="17" t="s">
        <v>37</v>
      </c>
    </row>
    <row r="19" ht="46" customHeight="1" spans="1:16" x14ac:dyDescent="0.25">
      <c r="A19" s="20" t="s">
        <v>2830</v>
      </c>
      <c r="B19" s="20" t="s">
        <v>55</v>
      </c>
      <c r="C19" s="20" t="s">
        <v>1429</v>
      </c>
      <c r="D19" s="20" t="s">
        <v>2831</v>
      </c>
      <c r="E19" s="20" t="s">
        <v>2787</v>
      </c>
      <c r="F19" s="20" t="s">
        <v>2788</v>
      </c>
      <c r="G19" s="21">
        <v>46528.75</v>
      </c>
      <c r="H19" s="20">
        <v>2</v>
      </c>
      <c r="I19" s="20" t="s">
        <v>2789</v>
      </c>
      <c r="J19" s="20" t="s">
        <v>37</v>
      </c>
      <c r="K19" s="20" t="s">
        <v>37</v>
      </c>
      <c r="L19" s="22">
        <f>IFERROR(K19/J19,0)</f>
        <v>0</v>
      </c>
      <c r="M19" s="20" t="s">
        <v>37</v>
      </c>
      <c r="N19" s="20" t="s">
        <v>102</v>
      </c>
      <c r="O19" s="20" t="s">
        <v>37</v>
      </c>
      <c r="P19" s="20" t="s">
        <v>37</v>
      </c>
    </row>
    <row r="20" ht="46" customHeight="1" spans="1:16" x14ac:dyDescent="0.25">
      <c r="A20" s="17" t="s">
        <v>2832</v>
      </c>
      <c r="B20" s="17" t="s">
        <v>2282</v>
      </c>
      <c r="C20" s="17" t="s">
        <v>297</v>
      </c>
      <c r="D20" s="17" t="s">
        <v>2833</v>
      </c>
      <c r="E20" s="17" t="s">
        <v>2787</v>
      </c>
      <c r="F20" s="17" t="s">
        <v>2788</v>
      </c>
      <c r="G20" s="18">
        <v>46532.75</v>
      </c>
      <c r="H20" s="17">
        <v>2</v>
      </c>
      <c r="I20" s="17" t="s">
        <v>2789</v>
      </c>
      <c r="J20" s="17" t="s">
        <v>37</v>
      </c>
      <c r="K20" s="17" t="s">
        <v>37</v>
      </c>
      <c r="L20" s="19">
        <f>IFERROR(K20/J20,0)</f>
        <v>0</v>
      </c>
      <c r="M20" s="17" t="s">
        <v>37</v>
      </c>
      <c r="N20" s="17" t="s">
        <v>102</v>
      </c>
      <c r="O20" s="17" t="s">
        <v>37</v>
      </c>
      <c r="P20" s="17" t="s">
        <v>37</v>
      </c>
    </row>
    <row r="21" ht="46" customHeight="1" spans="1:16" x14ac:dyDescent="0.25">
      <c r="A21" s="20" t="s">
        <v>2834</v>
      </c>
      <c r="B21" s="20" t="s">
        <v>2835</v>
      </c>
      <c r="C21" s="20" t="s">
        <v>2836</v>
      </c>
      <c r="D21" s="20" t="s">
        <v>2837</v>
      </c>
      <c r="E21" s="20" t="s">
        <v>2787</v>
      </c>
      <c r="F21" s="20" t="s">
        <v>2788</v>
      </c>
      <c r="G21" s="21">
        <v>46534.75</v>
      </c>
      <c r="H21" s="20">
        <v>2</v>
      </c>
      <c r="I21" s="20" t="s">
        <v>2789</v>
      </c>
      <c r="J21" s="20" t="s">
        <v>37</v>
      </c>
      <c r="K21" s="20" t="s">
        <v>37</v>
      </c>
      <c r="L21" s="22">
        <f>IFERROR(K21/J21,0)</f>
        <v>0</v>
      </c>
      <c r="M21" s="20" t="s">
        <v>37</v>
      </c>
      <c r="N21" s="20" t="s">
        <v>102</v>
      </c>
      <c r="O21" s="20" t="s">
        <v>37</v>
      </c>
      <c r="P21" s="20" t="s">
        <v>37</v>
      </c>
    </row>
    <row r="22" ht="46" customHeight="1" spans="1:16" x14ac:dyDescent="0.25">
      <c r="A22" s="17" t="s">
        <v>2838</v>
      </c>
      <c r="B22" s="17" t="s">
        <v>58</v>
      </c>
      <c r="C22" s="17" t="s">
        <v>2839</v>
      </c>
      <c r="D22" s="17" t="s">
        <v>2840</v>
      </c>
      <c r="E22" s="17" t="s">
        <v>2787</v>
      </c>
      <c r="F22" s="17" t="s">
        <v>2788</v>
      </c>
      <c r="G22" s="18">
        <v>46538.75</v>
      </c>
      <c r="H22" s="17">
        <v>2</v>
      </c>
      <c r="I22" s="17" t="s">
        <v>2789</v>
      </c>
      <c r="J22" s="17" t="s">
        <v>37</v>
      </c>
      <c r="K22" s="17" t="s">
        <v>37</v>
      </c>
      <c r="L22" s="19">
        <f>IFERROR(K22/J22,0)</f>
        <v>0</v>
      </c>
      <c r="M22" s="17" t="s">
        <v>37</v>
      </c>
      <c r="N22" s="17" t="s">
        <v>102</v>
      </c>
      <c r="O22" s="17" t="s">
        <v>37</v>
      </c>
      <c r="P22" s="17" t="s">
        <v>37</v>
      </c>
    </row>
    <row r="23" ht="46" customHeight="1" spans="1:16" x14ac:dyDescent="0.25">
      <c r="A23" s="20" t="s">
        <v>2841</v>
      </c>
      <c r="B23" s="20" t="s">
        <v>57</v>
      </c>
      <c r="C23" s="20" t="s">
        <v>1975</v>
      </c>
      <c r="D23" s="20" t="s">
        <v>2842</v>
      </c>
      <c r="E23" s="20" t="s">
        <v>2787</v>
      </c>
      <c r="F23" s="20" t="s">
        <v>2788</v>
      </c>
      <c r="G23" s="21">
        <v>46540.75</v>
      </c>
      <c r="H23" s="20">
        <v>2</v>
      </c>
      <c r="I23" s="20" t="s">
        <v>2789</v>
      </c>
      <c r="J23" s="20" t="s">
        <v>37</v>
      </c>
      <c r="K23" s="20" t="s">
        <v>37</v>
      </c>
      <c r="L23" s="22">
        <f>IFERROR(K23/J23,0)</f>
        <v>0</v>
      </c>
      <c r="M23" s="20" t="s">
        <v>37</v>
      </c>
      <c r="N23" s="20" t="s">
        <v>102</v>
      </c>
      <c r="O23" s="20" t="s">
        <v>37</v>
      </c>
      <c r="P23" s="20" t="s">
        <v>37</v>
      </c>
    </row>
    <row r="24" ht="46" customHeight="1" spans="1:16" x14ac:dyDescent="0.25">
      <c r="A24" s="17" t="s">
        <v>2843</v>
      </c>
      <c r="B24" s="17" t="s">
        <v>2844</v>
      </c>
      <c r="C24" s="17" t="s">
        <v>2845</v>
      </c>
      <c r="D24" s="17" t="s">
        <v>2846</v>
      </c>
      <c r="E24" s="17" t="s">
        <v>2787</v>
      </c>
      <c r="F24" s="17" t="s">
        <v>2788</v>
      </c>
      <c r="G24" s="18">
        <v>46542.75</v>
      </c>
      <c r="H24" s="17">
        <v>2</v>
      </c>
      <c r="I24" s="17" t="s">
        <v>2789</v>
      </c>
      <c r="J24" s="17" t="s">
        <v>37</v>
      </c>
      <c r="K24" s="17" t="s">
        <v>37</v>
      </c>
      <c r="L24" s="19">
        <f>IFERROR(K24/J24,0)</f>
        <v>0</v>
      </c>
      <c r="M24" s="17" t="s">
        <v>37</v>
      </c>
      <c r="N24" s="17" t="s">
        <v>102</v>
      </c>
      <c r="O24" s="17" t="s">
        <v>37</v>
      </c>
      <c r="P24" s="17" t="s">
        <v>37</v>
      </c>
    </row>
  </sheetData>
  <autoFilter ref="A5:P24"/>
  <mergeCells count="2">
    <mergeCell ref="A1:P1"/>
    <mergeCell ref="A2:P2"/>
  </mergeCells>
  <dataValidations count="6">
    <dataValidation type="list" allowBlank="1" showErrorMessage="1" error="Seleccione un valor de la lista." sqref="E10:E24">
      <formula1>'99_Listas'!$F$2:$F$17</formula1>
    </dataValidation>
    <dataValidation type="list" allowBlank="1" showErrorMessage="1" error="Seleccione un valor de la lista." sqref="E6:E24">
      <formula1>'99_Listas'!$F$2:$F$17</formula1>
    </dataValidation>
    <dataValidation type="list" allowBlank="1" showErrorMessage="1" error="Seleccione un valor de la lista." sqref="F10:F24">
      <formula1>'99_Listas'!$L$2:$L$4</formula1>
    </dataValidation>
    <dataValidation type="list" allowBlank="1" showErrorMessage="1" error="Seleccione un valor de la lista." sqref="F6:F24">
      <formula1>'99_Listas'!$L$2:$L$4</formula1>
    </dataValidation>
    <dataValidation type="list" allowBlank="1" showErrorMessage="1" error="Seleccione un valor de la lista." sqref="N10:N24">
      <formula1>'99_Listas'!$A$2:$A$7</formula1>
    </dataValidation>
    <dataValidation type="list" allowBlank="1" showErrorMessage="1" error="Seleccione un valor de la lista." sqref="N6:N24">
      <formula1>'99_Listas'!$A$2:$A$7</formula1>
    </dataValidation>
  </dataValidations>
  <pageMargins left="0.25" right="0.25" top="0.55" bottom="0.55" header="0.2" footer="0.2"/>
  <pageSetup paperSize="9" orientation="landscape" fitToWidth="1" fitToHeight="0"/>
  <headerFooter>
    <oddHeader>&amp;LGENTIA ERP&amp;CPlan de implementación&amp;R&amp;D</oddHeader>
    <oddFooter>&amp;LDocumento de trabajo&amp;CConfidencial&amp;R Página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5" customWidth="1"/>
    <col min="3" max="3" width="18" customWidth="1"/>
    <col min="4" max="6" width="16" customWidth="1"/>
    <col min="7" max="7" width="15" customWidth="1"/>
    <col min="8" max="8" width="14" customWidth="1"/>
    <col min="9" max="9" width="17" customWidth="1"/>
    <col min="10" max="10" width="14" customWidth="1"/>
    <col min="11" max="11" width="19" customWidth="1"/>
    <col min="12" max="12" width="16" customWidth="1"/>
  </cols>
  <sheetData>
    <row r="1" ht="34" customHeight="1" spans="1:12" x14ac:dyDescent="0.25">
      <c r="A1" s="8" t="s">
        <v>2847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26" customHeight="1" spans="1:12" x14ac:dyDescent="0.25">
      <c r="A2" s="9" t="s">
        <v>2848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5" ht="32" customHeight="1" spans="1:12" x14ac:dyDescent="0.25">
      <c r="A5" s="14" t="s">
        <v>2286</v>
      </c>
      <c r="B5" s="14" t="s">
        <v>2849</v>
      </c>
      <c r="C5" s="14" t="s">
        <v>2850</v>
      </c>
      <c r="D5" s="14" t="s">
        <v>44</v>
      </c>
      <c r="E5" s="14" t="s">
        <v>2851</v>
      </c>
      <c r="F5" s="14" t="s">
        <v>2852</v>
      </c>
      <c r="G5" s="14" t="s">
        <v>52</v>
      </c>
      <c r="H5" s="14" t="s">
        <v>1429</v>
      </c>
      <c r="I5" s="14" t="s">
        <v>2853</v>
      </c>
      <c r="J5" s="14" t="s">
        <v>58</v>
      </c>
      <c r="K5" s="14" t="s">
        <v>2787</v>
      </c>
      <c r="L5" s="14" t="s">
        <v>2854</v>
      </c>
    </row>
    <row r="6" ht="46" customHeight="1" spans="1:12" x14ac:dyDescent="0.25">
      <c r="A6" s="17" t="s">
        <v>2855</v>
      </c>
      <c r="B6" s="17" t="s">
        <v>2856</v>
      </c>
      <c r="C6" s="17" t="s">
        <v>2857</v>
      </c>
      <c r="D6" s="17" t="s">
        <v>2858</v>
      </c>
      <c r="E6" s="17" t="s">
        <v>2858</v>
      </c>
      <c r="F6" s="17" t="s">
        <v>2858</v>
      </c>
      <c r="G6" s="17" t="s">
        <v>2858</v>
      </c>
      <c r="H6" s="17" t="s">
        <v>2858</v>
      </c>
      <c r="I6" s="17" t="s">
        <v>2858</v>
      </c>
      <c r="J6" s="17" t="s">
        <v>2858</v>
      </c>
      <c r="K6" s="17" t="s">
        <v>2858</v>
      </c>
      <c r="L6" s="17" t="s">
        <v>2858</v>
      </c>
    </row>
    <row r="7" ht="46" customHeight="1" spans="1:12" x14ac:dyDescent="0.25">
      <c r="A7" s="20" t="s">
        <v>2859</v>
      </c>
      <c r="B7" s="20" t="s">
        <v>2858</v>
      </c>
      <c r="C7" s="20" t="s">
        <v>2856</v>
      </c>
      <c r="D7" s="20" t="s">
        <v>2857</v>
      </c>
      <c r="E7" s="20" t="s">
        <v>2858</v>
      </c>
      <c r="F7" s="20" t="s">
        <v>2858</v>
      </c>
      <c r="G7" s="20" t="s">
        <v>2858</v>
      </c>
      <c r="H7" s="20" t="s">
        <v>2858</v>
      </c>
      <c r="I7" s="20" t="s">
        <v>2858</v>
      </c>
      <c r="J7" s="20" t="s">
        <v>2858</v>
      </c>
      <c r="K7" s="20" t="s">
        <v>2858</v>
      </c>
      <c r="L7" s="20" t="s">
        <v>2858</v>
      </c>
    </row>
    <row r="8" ht="46" customHeight="1" spans="1:12" x14ac:dyDescent="0.25">
      <c r="A8" s="17" t="s">
        <v>42</v>
      </c>
      <c r="B8" s="17" t="s">
        <v>2858</v>
      </c>
      <c r="C8" s="17" t="s">
        <v>2858</v>
      </c>
      <c r="D8" s="17" t="s">
        <v>2856</v>
      </c>
      <c r="E8" s="17" t="s">
        <v>2857</v>
      </c>
      <c r="F8" s="17" t="s">
        <v>2858</v>
      </c>
      <c r="G8" s="17" t="s">
        <v>2858</v>
      </c>
      <c r="H8" s="17" t="s">
        <v>2858</v>
      </c>
      <c r="I8" s="17" t="s">
        <v>2858</v>
      </c>
      <c r="J8" s="17" t="s">
        <v>2858</v>
      </c>
      <c r="K8" s="17" t="s">
        <v>2858</v>
      </c>
      <c r="L8" s="17" t="s">
        <v>2858</v>
      </c>
    </row>
    <row r="9" ht="46" customHeight="1" spans="1:12" x14ac:dyDescent="0.25">
      <c r="A9" s="20" t="s">
        <v>2860</v>
      </c>
      <c r="B9" s="20" t="s">
        <v>2858</v>
      </c>
      <c r="C9" s="20" t="s">
        <v>2858</v>
      </c>
      <c r="D9" s="20" t="s">
        <v>2858</v>
      </c>
      <c r="E9" s="20" t="s">
        <v>2856</v>
      </c>
      <c r="F9" s="20" t="s">
        <v>2857</v>
      </c>
      <c r="G9" s="20" t="s">
        <v>2858</v>
      </c>
      <c r="H9" s="20" t="s">
        <v>2858</v>
      </c>
      <c r="I9" s="20" t="s">
        <v>2858</v>
      </c>
      <c r="J9" s="20" t="s">
        <v>2858</v>
      </c>
      <c r="K9" s="20" t="s">
        <v>2858</v>
      </c>
      <c r="L9" s="20" t="s">
        <v>2858</v>
      </c>
    </row>
    <row r="10" ht="46" customHeight="1" spans="1:12" x14ac:dyDescent="0.25">
      <c r="A10" s="17" t="s">
        <v>2861</v>
      </c>
      <c r="B10" s="17" t="s">
        <v>2858</v>
      </c>
      <c r="C10" s="17" t="s">
        <v>2858</v>
      </c>
      <c r="D10" s="17" t="s">
        <v>2858</v>
      </c>
      <c r="E10" s="17" t="s">
        <v>2858</v>
      </c>
      <c r="F10" s="17" t="s">
        <v>2856</v>
      </c>
      <c r="G10" s="17" t="s">
        <v>2857</v>
      </c>
      <c r="H10" s="17" t="s">
        <v>2858</v>
      </c>
      <c r="I10" s="17" t="s">
        <v>2858</v>
      </c>
      <c r="J10" s="17" t="s">
        <v>2858</v>
      </c>
      <c r="K10" s="17" t="s">
        <v>2858</v>
      </c>
      <c r="L10" s="17" t="s">
        <v>2858</v>
      </c>
    </row>
    <row r="11" ht="46" customHeight="1" spans="1:12" x14ac:dyDescent="0.25">
      <c r="A11" s="20" t="s">
        <v>2221</v>
      </c>
      <c r="B11" s="20" t="s">
        <v>2858</v>
      </c>
      <c r="C11" s="20" t="s">
        <v>2858</v>
      </c>
      <c r="D11" s="20" t="s">
        <v>2858</v>
      </c>
      <c r="E11" s="20" t="s">
        <v>2858</v>
      </c>
      <c r="F11" s="20" t="s">
        <v>2858</v>
      </c>
      <c r="G11" s="20" t="s">
        <v>2856</v>
      </c>
      <c r="H11" s="20" t="s">
        <v>2857</v>
      </c>
      <c r="I11" s="20" t="s">
        <v>2858</v>
      </c>
      <c r="J11" s="20" t="s">
        <v>2858</v>
      </c>
      <c r="K11" s="20" t="s">
        <v>2858</v>
      </c>
      <c r="L11" s="20" t="s">
        <v>2858</v>
      </c>
    </row>
    <row r="12" ht="46" customHeight="1" spans="1:12" x14ac:dyDescent="0.25">
      <c r="A12" s="17" t="s">
        <v>1429</v>
      </c>
      <c r="B12" s="17" t="s">
        <v>2858</v>
      </c>
      <c r="C12" s="17" t="s">
        <v>2858</v>
      </c>
      <c r="D12" s="17" t="s">
        <v>2858</v>
      </c>
      <c r="E12" s="17" t="s">
        <v>2858</v>
      </c>
      <c r="F12" s="17" t="s">
        <v>2858</v>
      </c>
      <c r="G12" s="17" t="s">
        <v>2858</v>
      </c>
      <c r="H12" s="17" t="s">
        <v>2856</v>
      </c>
      <c r="I12" s="17" t="s">
        <v>2857</v>
      </c>
      <c r="J12" s="17" t="s">
        <v>2858</v>
      </c>
      <c r="K12" s="17" t="s">
        <v>2858</v>
      </c>
      <c r="L12" s="17" t="s">
        <v>2858</v>
      </c>
    </row>
    <row r="13" ht="46" customHeight="1" spans="1:12" x14ac:dyDescent="0.25">
      <c r="A13" s="20" t="s">
        <v>2862</v>
      </c>
      <c r="B13" s="20" t="s">
        <v>2858</v>
      </c>
      <c r="C13" s="20" t="s">
        <v>2858</v>
      </c>
      <c r="D13" s="20" t="s">
        <v>2858</v>
      </c>
      <c r="E13" s="20" t="s">
        <v>2858</v>
      </c>
      <c r="F13" s="20" t="s">
        <v>2858</v>
      </c>
      <c r="G13" s="20" t="s">
        <v>2858</v>
      </c>
      <c r="H13" s="20" t="s">
        <v>2858</v>
      </c>
      <c r="I13" s="20" t="s">
        <v>2856</v>
      </c>
      <c r="J13" s="20" t="s">
        <v>2857</v>
      </c>
      <c r="K13" s="20" t="s">
        <v>2858</v>
      </c>
      <c r="L13" s="20" t="s">
        <v>2858</v>
      </c>
    </row>
    <row r="14" ht="46" customHeight="1" spans="1:12" x14ac:dyDescent="0.25">
      <c r="A14" s="17" t="s">
        <v>2863</v>
      </c>
      <c r="B14" s="17" t="s">
        <v>2858</v>
      </c>
      <c r="C14" s="17" t="s">
        <v>2858</v>
      </c>
      <c r="D14" s="17" t="s">
        <v>2858</v>
      </c>
      <c r="E14" s="17" t="s">
        <v>2858</v>
      </c>
      <c r="F14" s="17" t="s">
        <v>2858</v>
      </c>
      <c r="G14" s="17" t="s">
        <v>2858</v>
      </c>
      <c r="H14" s="17" t="s">
        <v>2858</v>
      </c>
      <c r="I14" s="17" t="s">
        <v>2858</v>
      </c>
      <c r="J14" s="17" t="s">
        <v>2856</v>
      </c>
      <c r="K14" s="17" t="s">
        <v>2857</v>
      </c>
      <c r="L14" s="17" t="s">
        <v>2858</v>
      </c>
    </row>
    <row r="15" ht="46" customHeight="1" spans="1:12" x14ac:dyDescent="0.25">
      <c r="A15" s="20" t="s">
        <v>2864</v>
      </c>
      <c r="B15" s="20" t="s">
        <v>2858</v>
      </c>
      <c r="C15" s="20" t="s">
        <v>2858</v>
      </c>
      <c r="D15" s="20" t="s">
        <v>2858</v>
      </c>
      <c r="E15" s="20" t="s">
        <v>2858</v>
      </c>
      <c r="F15" s="20" t="s">
        <v>2858</v>
      </c>
      <c r="G15" s="20" t="s">
        <v>2858</v>
      </c>
      <c r="H15" s="20" t="s">
        <v>2858</v>
      </c>
      <c r="I15" s="20" t="s">
        <v>2858</v>
      </c>
      <c r="J15" s="20" t="s">
        <v>2858</v>
      </c>
      <c r="K15" s="20" t="s">
        <v>2856</v>
      </c>
      <c r="L15" s="20" t="s">
        <v>2857</v>
      </c>
    </row>
    <row r="16" ht="46" customHeight="1" spans="1:12" x14ac:dyDescent="0.25">
      <c r="A16" s="17" t="s">
        <v>2865</v>
      </c>
      <c r="B16" s="17" t="s">
        <v>2857</v>
      </c>
      <c r="C16" s="17" t="s">
        <v>2858</v>
      </c>
      <c r="D16" s="17" t="s">
        <v>2858</v>
      </c>
      <c r="E16" s="17" t="s">
        <v>2858</v>
      </c>
      <c r="F16" s="17" t="s">
        <v>2858</v>
      </c>
      <c r="G16" s="17" t="s">
        <v>2858</v>
      </c>
      <c r="H16" s="17" t="s">
        <v>2858</v>
      </c>
      <c r="I16" s="17" t="s">
        <v>2858</v>
      </c>
      <c r="J16" s="17" t="s">
        <v>2858</v>
      </c>
      <c r="K16" s="17" t="s">
        <v>2858</v>
      </c>
      <c r="L16" s="17" t="s">
        <v>2856</v>
      </c>
    </row>
    <row r="17" ht="46" customHeight="1" spans="1:12" x14ac:dyDescent="0.25">
      <c r="A17" s="20" t="s">
        <v>49</v>
      </c>
      <c r="B17" s="20" t="s">
        <v>2856</v>
      </c>
      <c r="C17" s="20" t="s">
        <v>2857</v>
      </c>
      <c r="D17" s="20" t="s">
        <v>2858</v>
      </c>
      <c r="E17" s="20" t="s">
        <v>2858</v>
      </c>
      <c r="F17" s="20" t="s">
        <v>2858</v>
      </c>
      <c r="G17" s="20" t="s">
        <v>2858</v>
      </c>
      <c r="H17" s="20" t="s">
        <v>2858</v>
      </c>
      <c r="I17" s="20" t="s">
        <v>2858</v>
      </c>
      <c r="J17" s="20" t="s">
        <v>2858</v>
      </c>
      <c r="K17" s="20" t="s">
        <v>2858</v>
      </c>
      <c r="L17" s="20" t="s">
        <v>2858</v>
      </c>
    </row>
    <row r="18" ht="46" customHeight="1" spans="1:12" x14ac:dyDescent="0.25">
      <c r="A18" s="17" t="s">
        <v>2866</v>
      </c>
      <c r="B18" s="17" t="s">
        <v>2858</v>
      </c>
      <c r="C18" s="17" t="s">
        <v>2856</v>
      </c>
      <c r="D18" s="17" t="s">
        <v>2857</v>
      </c>
      <c r="E18" s="17" t="s">
        <v>2858</v>
      </c>
      <c r="F18" s="17" t="s">
        <v>2858</v>
      </c>
      <c r="G18" s="17" t="s">
        <v>2858</v>
      </c>
      <c r="H18" s="17" t="s">
        <v>2858</v>
      </c>
      <c r="I18" s="17" t="s">
        <v>2858</v>
      </c>
      <c r="J18" s="17" t="s">
        <v>2858</v>
      </c>
      <c r="K18" s="17" t="s">
        <v>2858</v>
      </c>
      <c r="L18" s="17" t="s">
        <v>2858</v>
      </c>
    </row>
    <row r="19" ht="46" customHeight="1" spans="1:12" x14ac:dyDescent="0.25">
      <c r="A19" s="20" t="s">
        <v>51</v>
      </c>
      <c r="B19" s="20" t="s">
        <v>2858</v>
      </c>
      <c r="C19" s="20" t="s">
        <v>2858</v>
      </c>
      <c r="D19" s="20" t="s">
        <v>2856</v>
      </c>
      <c r="E19" s="20" t="s">
        <v>2857</v>
      </c>
      <c r="F19" s="20" t="s">
        <v>2858</v>
      </c>
      <c r="G19" s="20" t="s">
        <v>2858</v>
      </c>
      <c r="H19" s="20" t="s">
        <v>2858</v>
      </c>
      <c r="I19" s="20" t="s">
        <v>2858</v>
      </c>
      <c r="J19" s="20" t="s">
        <v>2858</v>
      </c>
      <c r="K19" s="20" t="s">
        <v>2858</v>
      </c>
      <c r="L19" s="20" t="s">
        <v>2858</v>
      </c>
    </row>
    <row r="20" ht="46" customHeight="1" spans="1:12" x14ac:dyDescent="0.25">
      <c r="A20" s="17" t="s">
        <v>52</v>
      </c>
      <c r="B20" s="17" t="s">
        <v>2858</v>
      </c>
      <c r="C20" s="17" t="s">
        <v>2858</v>
      </c>
      <c r="D20" s="17" t="s">
        <v>2858</v>
      </c>
      <c r="E20" s="17" t="s">
        <v>2856</v>
      </c>
      <c r="F20" s="17" t="s">
        <v>2857</v>
      </c>
      <c r="G20" s="17" t="s">
        <v>2858</v>
      </c>
      <c r="H20" s="17" t="s">
        <v>2858</v>
      </c>
      <c r="I20" s="17" t="s">
        <v>2858</v>
      </c>
      <c r="J20" s="17" t="s">
        <v>2858</v>
      </c>
      <c r="K20" s="17" t="s">
        <v>2858</v>
      </c>
      <c r="L20" s="17" t="s">
        <v>2858</v>
      </c>
    </row>
    <row r="21" ht="46" customHeight="1" spans="1:12" x14ac:dyDescent="0.25">
      <c r="A21" s="20" t="s">
        <v>53</v>
      </c>
      <c r="B21" s="20" t="s">
        <v>2858</v>
      </c>
      <c r="C21" s="20" t="s">
        <v>2858</v>
      </c>
      <c r="D21" s="20" t="s">
        <v>2858</v>
      </c>
      <c r="E21" s="20" t="s">
        <v>2858</v>
      </c>
      <c r="F21" s="20" t="s">
        <v>2856</v>
      </c>
      <c r="G21" s="20" t="s">
        <v>2857</v>
      </c>
      <c r="H21" s="20" t="s">
        <v>2858</v>
      </c>
      <c r="I21" s="20" t="s">
        <v>2858</v>
      </c>
      <c r="J21" s="20" t="s">
        <v>2858</v>
      </c>
      <c r="K21" s="20" t="s">
        <v>2858</v>
      </c>
      <c r="L21" s="20" t="s">
        <v>2858</v>
      </c>
    </row>
    <row r="22" ht="46" customHeight="1" spans="1:12" x14ac:dyDescent="0.25">
      <c r="A22" s="17" t="s">
        <v>54</v>
      </c>
      <c r="B22" s="17" t="s">
        <v>2858</v>
      </c>
      <c r="C22" s="17" t="s">
        <v>2858</v>
      </c>
      <c r="D22" s="17" t="s">
        <v>2858</v>
      </c>
      <c r="E22" s="17" t="s">
        <v>2858</v>
      </c>
      <c r="F22" s="17" t="s">
        <v>2858</v>
      </c>
      <c r="G22" s="17" t="s">
        <v>2856</v>
      </c>
      <c r="H22" s="17" t="s">
        <v>2857</v>
      </c>
      <c r="I22" s="17" t="s">
        <v>2858</v>
      </c>
      <c r="J22" s="17" t="s">
        <v>2858</v>
      </c>
      <c r="K22" s="17" t="s">
        <v>2858</v>
      </c>
      <c r="L22" s="17" t="s">
        <v>2858</v>
      </c>
    </row>
    <row r="23" ht="46" customHeight="1" spans="1:12" x14ac:dyDescent="0.25">
      <c r="A23" s="20" t="s">
        <v>2867</v>
      </c>
      <c r="B23" s="20" t="s">
        <v>2858</v>
      </c>
      <c r="C23" s="20" t="s">
        <v>2858</v>
      </c>
      <c r="D23" s="20" t="s">
        <v>2858</v>
      </c>
      <c r="E23" s="20" t="s">
        <v>2858</v>
      </c>
      <c r="F23" s="20" t="s">
        <v>2858</v>
      </c>
      <c r="G23" s="20" t="s">
        <v>2858</v>
      </c>
      <c r="H23" s="20" t="s">
        <v>2856</v>
      </c>
      <c r="I23" s="20" t="s">
        <v>2857</v>
      </c>
      <c r="J23" s="20" t="s">
        <v>2858</v>
      </c>
      <c r="K23" s="20" t="s">
        <v>2858</v>
      </c>
      <c r="L23" s="20" t="s">
        <v>2858</v>
      </c>
    </row>
    <row r="24" ht="46" customHeight="1" spans="1:12" x14ac:dyDescent="0.25">
      <c r="A24" s="17" t="s">
        <v>2868</v>
      </c>
      <c r="B24" s="17" t="s">
        <v>2858</v>
      </c>
      <c r="C24" s="17" t="s">
        <v>2858</v>
      </c>
      <c r="D24" s="17" t="s">
        <v>2858</v>
      </c>
      <c r="E24" s="17" t="s">
        <v>2858</v>
      </c>
      <c r="F24" s="17" t="s">
        <v>2858</v>
      </c>
      <c r="G24" s="17" t="s">
        <v>2858</v>
      </c>
      <c r="H24" s="17" t="s">
        <v>2858</v>
      </c>
      <c r="I24" s="17" t="s">
        <v>2856</v>
      </c>
      <c r="J24" s="17" t="s">
        <v>2857</v>
      </c>
      <c r="K24" s="17" t="s">
        <v>2858</v>
      </c>
      <c r="L24" s="17" t="s">
        <v>2858</v>
      </c>
    </row>
    <row r="25" ht="46" customHeight="1" spans="1:12" x14ac:dyDescent="0.25">
      <c r="A25" s="20" t="s">
        <v>2835</v>
      </c>
      <c r="B25" s="20" t="s">
        <v>2858</v>
      </c>
      <c r="C25" s="20" t="s">
        <v>2858</v>
      </c>
      <c r="D25" s="20" t="s">
        <v>2858</v>
      </c>
      <c r="E25" s="20" t="s">
        <v>2858</v>
      </c>
      <c r="F25" s="20" t="s">
        <v>2858</v>
      </c>
      <c r="G25" s="20" t="s">
        <v>2858</v>
      </c>
      <c r="H25" s="20" t="s">
        <v>2858</v>
      </c>
      <c r="I25" s="20" t="s">
        <v>2858</v>
      </c>
      <c r="J25" s="20" t="s">
        <v>2856</v>
      </c>
      <c r="K25" s="20" t="s">
        <v>2857</v>
      </c>
      <c r="L25" s="20" t="s">
        <v>2858</v>
      </c>
    </row>
    <row r="26" ht="46" customHeight="1" spans="1:12" x14ac:dyDescent="0.25">
      <c r="A26" s="17" t="s">
        <v>2282</v>
      </c>
      <c r="B26" s="17" t="s">
        <v>2858</v>
      </c>
      <c r="C26" s="17" t="s">
        <v>2858</v>
      </c>
      <c r="D26" s="17" t="s">
        <v>2858</v>
      </c>
      <c r="E26" s="17" t="s">
        <v>2858</v>
      </c>
      <c r="F26" s="17" t="s">
        <v>2858</v>
      </c>
      <c r="G26" s="17" t="s">
        <v>2858</v>
      </c>
      <c r="H26" s="17" t="s">
        <v>2858</v>
      </c>
      <c r="I26" s="17" t="s">
        <v>2858</v>
      </c>
      <c r="J26" s="17" t="s">
        <v>2858</v>
      </c>
      <c r="K26" s="17" t="s">
        <v>2856</v>
      </c>
      <c r="L26" s="17" t="s">
        <v>2857</v>
      </c>
    </row>
    <row r="27" ht="46" customHeight="1" spans="1:12" x14ac:dyDescent="0.25">
      <c r="A27" s="20" t="s">
        <v>58</v>
      </c>
      <c r="B27" s="20" t="s">
        <v>2857</v>
      </c>
      <c r="C27" s="20" t="s">
        <v>2858</v>
      </c>
      <c r="D27" s="20" t="s">
        <v>2858</v>
      </c>
      <c r="E27" s="20" t="s">
        <v>2858</v>
      </c>
      <c r="F27" s="20" t="s">
        <v>2858</v>
      </c>
      <c r="G27" s="20" t="s">
        <v>2858</v>
      </c>
      <c r="H27" s="20" t="s">
        <v>2858</v>
      </c>
      <c r="I27" s="20" t="s">
        <v>2858</v>
      </c>
      <c r="J27" s="20" t="s">
        <v>2858</v>
      </c>
      <c r="K27" s="20" t="s">
        <v>2858</v>
      </c>
      <c r="L27" s="20" t="s">
        <v>2856</v>
      </c>
    </row>
    <row r="28" ht="46" customHeight="1" spans="1:12" x14ac:dyDescent="0.25">
      <c r="A28" s="17" t="s">
        <v>32</v>
      </c>
      <c r="B28" s="17" t="s">
        <v>2856</v>
      </c>
      <c r="C28" s="17" t="s">
        <v>2857</v>
      </c>
      <c r="D28" s="17" t="s">
        <v>2858</v>
      </c>
      <c r="E28" s="17" t="s">
        <v>2858</v>
      </c>
      <c r="F28" s="17" t="s">
        <v>2858</v>
      </c>
      <c r="G28" s="17" t="s">
        <v>2858</v>
      </c>
      <c r="H28" s="17" t="s">
        <v>2858</v>
      </c>
      <c r="I28" s="17" t="s">
        <v>2858</v>
      </c>
      <c r="J28" s="17" t="s">
        <v>2858</v>
      </c>
      <c r="K28" s="17" t="s">
        <v>2858</v>
      </c>
      <c r="L28" s="17" t="s">
        <v>2858</v>
      </c>
    </row>
    <row r="29" ht="46" customHeight="1" spans="1:12" x14ac:dyDescent="0.25">
      <c r="A29" s="20" t="s">
        <v>2019</v>
      </c>
      <c r="B29" s="20" t="s">
        <v>2858</v>
      </c>
      <c r="C29" s="20" t="s">
        <v>2856</v>
      </c>
      <c r="D29" s="20" t="s">
        <v>2857</v>
      </c>
      <c r="E29" s="20" t="s">
        <v>2858</v>
      </c>
      <c r="F29" s="20" t="s">
        <v>2858</v>
      </c>
      <c r="G29" s="20" t="s">
        <v>2858</v>
      </c>
      <c r="H29" s="20" t="s">
        <v>2858</v>
      </c>
      <c r="I29" s="20" t="s">
        <v>2858</v>
      </c>
      <c r="J29" s="20" t="s">
        <v>2858</v>
      </c>
      <c r="K29" s="20" t="s">
        <v>2858</v>
      </c>
      <c r="L29" s="20" t="s">
        <v>2858</v>
      </c>
    </row>
    <row r="30" ht="46" customHeight="1" spans="1:12" x14ac:dyDescent="0.25">
      <c r="A30" s="17" t="s">
        <v>2061</v>
      </c>
      <c r="B30" s="17" t="s">
        <v>2858</v>
      </c>
      <c r="C30" s="17" t="s">
        <v>2858</v>
      </c>
      <c r="D30" s="17" t="s">
        <v>2856</v>
      </c>
      <c r="E30" s="17" t="s">
        <v>2857</v>
      </c>
      <c r="F30" s="17" t="s">
        <v>2858</v>
      </c>
      <c r="G30" s="17" t="s">
        <v>2858</v>
      </c>
      <c r="H30" s="17" t="s">
        <v>2858</v>
      </c>
      <c r="I30" s="17" t="s">
        <v>2858</v>
      </c>
      <c r="J30" s="17" t="s">
        <v>2858</v>
      </c>
      <c r="K30" s="17" t="s">
        <v>2858</v>
      </c>
      <c r="L30" s="17" t="s">
        <v>2858</v>
      </c>
    </row>
    <row r="31" ht="46" customHeight="1" spans="1:12" x14ac:dyDescent="0.25">
      <c r="A31" s="20" t="s">
        <v>2869</v>
      </c>
      <c r="B31" s="20" t="s">
        <v>2858</v>
      </c>
      <c r="C31" s="20" t="s">
        <v>2858</v>
      </c>
      <c r="D31" s="20" t="s">
        <v>2858</v>
      </c>
      <c r="E31" s="20" t="s">
        <v>2856</v>
      </c>
      <c r="F31" s="20" t="s">
        <v>2857</v>
      </c>
      <c r="G31" s="20" t="s">
        <v>2858</v>
      </c>
      <c r="H31" s="20" t="s">
        <v>2858</v>
      </c>
      <c r="I31" s="20" t="s">
        <v>2858</v>
      </c>
      <c r="J31" s="20" t="s">
        <v>2858</v>
      </c>
      <c r="K31" s="20" t="s">
        <v>2858</v>
      </c>
      <c r="L31" s="20" t="s">
        <v>2858</v>
      </c>
    </row>
  </sheetData>
  <autoFilter ref="A5:L31"/>
  <mergeCells count="2">
    <mergeCell ref="A1:L1"/>
    <mergeCell ref="A2:L2"/>
  </mergeCells>
  <dataValidations count="2">
    <dataValidation type="list" allowBlank="1" showErrorMessage="1" error="Seleccione un valor de la lista." sqref="B10:L31">
      <formula1>'99_Listas'!$G$2:$G$5</formula1>
    </dataValidation>
    <dataValidation type="list" allowBlank="1" showErrorMessage="1" error="Seleccione un valor de la lista." sqref="B6:L31">
      <formula1>'99_Listas'!$G$2:$G$5</formula1>
    </dataValidation>
  </dataValidations>
  <pageMargins left="0.25" right="0.25" top="0.55" bottom="0.55" header="0.2" footer="0.2"/>
  <pageSetup paperSize="9" orientation="landscape" fitToWidth="1" fitToHeight="0"/>
  <headerFooter>
    <oddHeader>&amp;LGENTIA ERP&amp;CPlan de implementación&amp;R&amp;D</oddHeader>
    <oddFooter>&amp;LDocumento de trabajo&amp;CConfidencial&amp;R Página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2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38" customWidth="1"/>
    <col min="4" max="4" width="22" customWidth="1"/>
    <col min="5" max="5" width="30" customWidth="1"/>
    <col min="6" max="6" width="34" customWidth="1"/>
    <col min="7" max="8" width="10" customWidth="1"/>
    <col min="9" max="9" width="13" customWidth="1"/>
    <col min="10" max="10" width="44" customWidth="1"/>
    <col min="11" max="11" width="22" customWidth="1"/>
    <col min="12" max="12" width="11" customWidth="1"/>
    <col min="13" max="13" width="14" customWidth="1"/>
    <col min="14" max="14" width="15" customWidth="1"/>
    <col min="15" max="15" width="14" customWidth="1"/>
    <col min="16" max="17" width="26" customWidth="1"/>
  </cols>
  <sheetData>
    <row r="1" ht="34" customHeight="1" spans="1:17" x14ac:dyDescent="0.25">
      <c r="A1" s="8" t="s">
        <v>2870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ht="26" customHeight="1" spans="1:17" x14ac:dyDescent="0.25">
      <c r="A2" s="9" t="s">
        <v>2871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5" ht="32" customHeight="1" spans="1:17" x14ac:dyDescent="0.25">
      <c r="A5" s="14" t="s">
        <v>65</v>
      </c>
      <c r="B5" s="14" t="s">
        <v>2872</v>
      </c>
      <c r="C5" s="14" t="s">
        <v>2873</v>
      </c>
      <c r="D5" s="14" t="s">
        <v>35</v>
      </c>
      <c r="E5" s="14" t="s">
        <v>2874</v>
      </c>
      <c r="F5" s="14" t="s">
        <v>2875</v>
      </c>
      <c r="G5" s="14" t="s">
        <v>2876</v>
      </c>
      <c r="H5" s="14" t="s">
        <v>2875</v>
      </c>
      <c r="I5" s="14" t="s">
        <v>2877</v>
      </c>
      <c r="J5" s="14" t="s">
        <v>2878</v>
      </c>
      <c r="K5" s="14" t="s">
        <v>2065</v>
      </c>
      <c r="L5" s="14" t="s">
        <v>2879</v>
      </c>
      <c r="M5" s="14" t="s">
        <v>2880</v>
      </c>
      <c r="N5" s="14" t="s">
        <v>85</v>
      </c>
      <c r="O5" s="14" t="s">
        <v>2881</v>
      </c>
      <c r="P5" s="14" t="s">
        <v>2142</v>
      </c>
      <c r="Q5" s="14" t="s">
        <v>88</v>
      </c>
    </row>
    <row r="6" ht="46" customHeight="1" spans="1:17" x14ac:dyDescent="0.25">
      <c r="A6" s="17" t="s">
        <v>2882</v>
      </c>
      <c r="B6" s="17" t="s">
        <v>2883</v>
      </c>
      <c r="C6" s="17" t="s">
        <v>2884</v>
      </c>
      <c r="D6" s="17" t="s">
        <v>61</v>
      </c>
      <c r="E6" s="17" t="s">
        <v>2885</v>
      </c>
      <c r="F6" s="17" t="s">
        <v>2886</v>
      </c>
      <c r="G6" s="17">
        <v>5</v>
      </c>
      <c r="H6" s="17">
        <v>4</v>
      </c>
      <c r="I6" s="17" t="s">
        <v>2887</v>
      </c>
      <c r="J6" s="17" t="s">
        <v>2888</v>
      </c>
      <c r="K6" s="17" t="s">
        <v>2889</v>
      </c>
      <c r="L6" s="17">
        <f>G6*H6</f>
        <v>20</v>
      </c>
      <c r="M6" s="18">
        <v>46370.75</v>
      </c>
      <c r="N6" s="17" t="s">
        <v>2890</v>
      </c>
      <c r="O6" s="17" t="s">
        <v>37</v>
      </c>
      <c r="P6" s="17" t="s">
        <v>37</v>
      </c>
      <c r="Q6" s="17" t="s">
        <v>37</v>
      </c>
    </row>
    <row r="7" ht="46" customHeight="1" spans="1:17" x14ac:dyDescent="0.25">
      <c r="A7" s="20" t="s">
        <v>2891</v>
      </c>
      <c r="B7" s="20" t="s">
        <v>2883</v>
      </c>
      <c r="C7" s="20" t="s">
        <v>2892</v>
      </c>
      <c r="D7" s="20" t="s">
        <v>44</v>
      </c>
      <c r="E7" s="20" t="s">
        <v>2885</v>
      </c>
      <c r="F7" s="20" t="s">
        <v>2886</v>
      </c>
      <c r="G7" s="20">
        <v>5</v>
      </c>
      <c r="H7" s="20">
        <v>4</v>
      </c>
      <c r="I7" s="20" t="s">
        <v>2887</v>
      </c>
      <c r="J7" s="20" t="s">
        <v>2888</v>
      </c>
      <c r="K7" s="20" t="s">
        <v>2889</v>
      </c>
      <c r="L7" s="20">
        <f>G7*H7</f>
        <v>20</v>
      </c>
      <c r="M7" s="21">
        <v>46374.75</v>
      </c>
      <c r="N7" s="20" t="s">
        <v>2890</v>
      </c>
      <c r="O7" s="20" t="s">
        <v>37</v>
      </c>
      <c r="P7" s="20" t="s">
        <v>37</v>
      </c>
      <c r="Q7" s="20" t="s">
        <v>37</v>
      </c>
    </row>
    <row r="8" ht="46" customHeight="1" spans="1:17" x14ac:dyDescent="0.25">
      <c r="A8" s="17" t="s">
        <v>2893</v>
      </c>
      <c r="B8" s="17" t="s">
        <v>2883</v>
      </c>
      <c r="C8" s="17" t="s">
        <v>2894</v>
      </c>
      <c r="D8" s="17" t="s">
        <v>61</v>
      </c>
      <c r="E8" s="17" t="s">
        <v>2885</v>
      </c>
      <c r="F8" s="17" t="s">
        <v>2886</v>
      </c>
      <c r="G8" s="17">
        <v>5</v>
      </c>
      <c r="H8" s="17">
        <v>4</v>
      </c>
      <c r="I8" s="17" t="s">
        <v>2887</v>
      </c>
      <c r="J8" s="17" t="s">
        <v>2888</v>
      </c>
      <c r="K8" s="17" t="s">
        <v>2889</v>
      </c>
      <c r="L8" s="17">
        <f>G8*H8</f>
        <v>20</v>
      </c>
      <c r="M8" s="18">
        <v>46380.75</v>
      </c>
      <c r="N8" s="17" t="s">
        <v>2890</v>
      </c>
      <c r="O8" s="17" t="s">
        <v>37</v>
      </c>
      <c r="P8" s="17" t="s">
        <v>37</v>
      </c>
      <c r="Q8" s="17" t="s">
        <v>37</v>
      </c>
    </row>
    <row r="9" ht="46" customHeight="1" spans="1:17" x14ac:dyDescent="0.25">
      <c r="A9" s="20" t="s">
        <v>2895</v>
      </c>
      <c r="B9" s="20" t="s">
        <v>2883</v>
      </c>
      <c r="C9" s="20" t="s">
        <v>2896</v>
      </c>
      <c r="D9" s="20" t="s">
        <v>2897</v>
      </c>
      <c r="E9" s="20" t="s">
        <v>2885</v>
      </c>
      <c r="F9" s="20" t="s">
        <v>2886</v>
      </c>
      <c r="G9" s="20">
        <v>4</v>
      </c>
      <c r="H9" s="20">
        <v>4</v>
      </c>
      <c r="I9" s="20" t="s">
        <v>2887</v>
      </c>
      <c r="J9" s="20" t="s">
        <v>2888</v>
      </c>
      <c r="K9" s="20" t="s">
        <v>2889</v>
      </c>
      <c r="L9" s="20">
        <f>G9*H9</f>
        <v>16</v>
      </c>
      <c r="M9" s="21">
        <v>46386.75</v>
      </c>
      <c r="N9" s="20" t="s">
        <v>2890</v>
      </c>
      <c r="O9" s="20" t="s">
        <v>37</v>
      </c>
      <c r="P9" s="20" t="s">
        <v>37</v>
      </c>
      <c r="Q9" s="20" t="s">
        <v>37</v>
      </c>
    </row>
    <row r="10" ht="46" customHeight="1" spans="1:17" x14ac:dyDescent="0.25">
      <c r="A10" s="17" t="s">
        <v>2898</v>
      </c>
      <c r="B10" s="17" t="s">
        <v>2883</v>
      </c>
      <c r="C10" s="17" t="s">
        <v>2899</v>
      </c>
      <c r="D10" s="17" t="s">
        <v>42</v>
      </c>
      <c r="E10" s="17" t="s">
        <v>2885</v>
      </c>
      <c r="F10" s="17" t="s">
        <v>2886</v>
      </c>
      <c r="G10" s="17">
        <v>5</v>
      </c>
      <c r="H10" s="17">
        <v>3</v>
      </c>
      <c r="I10" s="17" t="s">
        <v>2887</v>
      </c>
      <c r="J10" s="17" t="s">
        <v>2888</v>
      </c>
      <c r="K10" s="17" t="s">
        <v>2889</v>
      </c>
      <c r="L10" s="17">
        <f>G10*H10</f>
        <v>15</v>
      </c>
      <c r="M10" s="18">
        <v>46392.75</v>
      </c>
      <c r="N10" s="17" t="s">
        <v>2890</v>
      </c>
      <c r="O10" s="17" t="s">
        <v>37</v>
      </c>
      <c r="P10" s="17" t="s">
        <v>37</v>
      </c>
      <c r="Q10" s="17" t="s">
        <v>37</v>
      </c>
    </row>
    <row r="11" ht="46" customHeight="1" spans="1:17" x14ac:dyDescent="0.25">
      <c r="A11" s="20" t="s">
        <v>2900</v>
      </c>
      <c r="B11" s="20" t="s">
        <v>2883</v>
      </c>
      <c r="C11" s="20" t="s">
        <v>2901</v>
      </c>
      <c r="D11" s="20" t="s">
        <v>2059</v>
      </c>
      <c r="E11" s="20" t="s">
        <v>2885</v>
      </c>
      <c r="F11" s="20" t="s">
        <v>2886</v>
      </c>
      <c r="G11" s="20">
        <v>5</v>
      </c>
      <c r="H11" s="20">
        <v>4</v>
      </c>
      <c r="I11" s="20" t="s">
        <v>2887</v>
      </c>
      <c r="J11" s="20" t="s">
        <v>2888</v>
      </c>
      <c r="K11" s="20" t="s">
        <v>2889</v>
      </c>
      <c r="L11" s="20">
        <f>G11*H11</f>
        <v>20</v>
      </c>
      <c r="M11" s="21">
        <v>46398.75</v>
      </c>
      <c r="N11" s="20" t="s">
        <v>2890</v>
      </c>
      <c r="O11" s="20" t="s">
        <v>37</v>
      </c>
      <c r="P11" s="20" t="s">
        <v>37</v>
      </c>
      <c r="Q11" s="20" t="s">
        <v>37</v>
      </c>
    </row>
    <row r="12" ht="46" customHeight="1" spans="1:17" x14ac:dyDescent="0.25">
      <c r="A12" s="17" t="s">
        <v>2902</v>
      </c>
      <c r="B12" s="17" t="s">
        <v>2883</v>
      </c>
      <c r="C12" s="17" t="s">
        <v>2903</v>
      </c>
      <c r="D12" s="17" t="s">
        <v>40</v>
      </c>
      <c r="E12" s="17" t="s">
        <v>2885</v>
      </c>
      <c r="F12" s="17" t="s">
        <v>2886</v>
      </c>
      <c r="G12" s="17">
        <v>4</v>
      </c>
      <c r="H12" s="17">
        <v>3</v>
      </c>
      <c r="I12" s="17" t="s">
        <v>2887</v>
      </c>
      <c r="J12" s="17" t="s">
        <v>2888</v>
      </c>
      <c r="K12" s="17" t="s">
        <v>2889</v>
      </c>
      <c r="L12" s="17">
        <f>G12*H12</f>
        <v>12</v>
      </c>
      <c r="M12" s="18">
        <v>46402.75</v>
      </c>
      <c r="N12" s="17" t="s">
        <v>2890</v>
      </c>
      <c r="O12" s="17" t="s">
        <v>37</v>
      </c>
      <c r="P12" s="17" t="s">
        <v>37</v>
      </c>
      <c r="Q12" s="17" t="s">
        <v>37</v>
      </c>
    </row>
    <row r="13" ht="46" customHeight="1" spans="1:17" x14ac:dyDescent="0.25">
      <c r="A13" s="20" t="s">
        <v>2904</v>
      </c>
      <c r="B13" s="20" t="s">
        <v>2883</v>
      </c>
      <c r="C13" s="20" t="s">
        <v>2905</v>
      </c>
      <c r="D13" s="20" t="s">
        <v>2859</v>
      </c>
      <c r="E13" s="20" t="s">
        <v>2885</v>
      </c>
      <c r="F13" s="20" t="s">
        <v>2886</v>
      </c>
      <c r="G13" s="20">
        <v>4</v>
      </c>
      <c r="H13" s="20">
        <v>3</v>
      </c>
      <c r="I13" s="20" t="s">
        <v>2887</v>
      </c>
      <c r="J13" s="20" t="s">
        <v>2888</v>
      </c>
      <c r="K13" s="20" t="s">
        <v>2889</v>
      </c>
      <c r="L13" s="20">
        <f>G13*H13</f>
        <v>12</v>
      </c>
      <c r="M13" s="21">
        <v>46408.75</v>
      </c>
      <c r="N13" s="20" t="s">
        <v>2890</v>
      </c>
      <c r="O13" s="20" t="s">
        <v>37</v>
      </c>
      <c r="P13" s="20" t="s">
        <v>37</v>
      </c>
      <c r="Q13" s="20" t="s">
        <v>37</v>
      </c>
    </row>
    <row r="14" ht="46" customHeight="1" spans="1:17" x14ac:dyDescent="0.25">
      <c r="A14" s="17" t="s">
        <v>2906</v>
      </c>
      <c r="B14" s="17" t="s">
        <v>2883</v>
      </c>
      <c r="C14" s="17" t="s">
        <v>2907</v>
      </c>
      <c r="D14" s="17" t="s">
        <v>2859</v>
      </c>
      <c r="E14" s="17" t="s">
        <v>2885</v>
      </c>
      <c r="F14" s="17" t="s">
        <v>2886</v>
      </c>
      <c r="G14" s="17">
        <v>4</v>
      </c>
      <c r="H14" s="17">
        <v>3</v>
      </c>
      <c r="I14" s="17" t="s">
        <v>2887</v>
      </c>
      <c r="J14" s="17" t="s">
        <v>2888</v>
      </c>
      <c r="K14" s="17" t="s">
        <v>2889</v>
      </c>
      <c r="L14" s="17">
        <f>G14*H14</f>
        <v>12</v>
      </c>
      <c r="M14" s="18">
        <v>46414.75</v>
      </c>
      <c r="N14" s="17" t="s">
        <v>2890</v>
      </c>
      <c r="O14" s="17" t="s">
        <v>37</v>
      </c>
      <c r="P14" s="17" t="s">
        <v>37</v>
      </c>
      <c r="Q14" s="17" t="s">
        <v>37</v>
      </c>
    </row>
    <row r="15" ht="46" customHeight="1" spans="1:17" x14ac:dyDescent="0.25">
      <c r="A15" s="20" t="s">
        <v>2908</v>
      </c>
      <c r="B15" s="20" t="s">
        <v>2883</v>
      </c>
      <c r="C15" s="20" t="s">
        <v>2909</v>
      </c>
      <c r="D15" s="20" t="s">
        <v>41</v>
      </c>
      <c r="E15" s="20" t="s">
        <v>2885</v>
      </c>
      <c r="F15" s="20" t="s">
        <v>2886</v>
      </c>
      <c r="G15" s="20">
        <v>4</v>
      </c>
      <c r="H15" s="20">
        <v>4</v>
      </c>
      <c r="I15" s="20" t="s">
        <v>2887</v>
      </c>
      <c r="J15" s="20" t="s">
        <v>2888</v>
      </c>
      <c r="K15" s="20" t="s">
        <v>2889</v>
      </c>
      <c r="L15" s="20">
        <f>G15*H15</f>
        <v>16</v>
      </c>
      <c r="M15" s="21">
        <v>46420.75</v>
      </c>
      <c r="N15" s="20" t="s">
        <v>2890</v>
      </c>
      <c r="O15" s="20" t="s">
        <v>37</v>
      </c>
      <c r="P15" s="20" t="s">
        <v>37</v>
      </c>
      <c r="Q15" s="20" t="s">
        <v>37</v>
      </c>
    </row>
    <row r="16" ht="46" customHeight="1" spans="1:17" x14ac:dyDescent="0.25">
      <c r="A16" s="17" t="s">
        <v>2910</v>
      </c>
      <c r="B16" s="17" t="s">
        <v>2883</v>
      </c>
      <c r="C16" s="17" t="s">
        <v>2911</v>
      </c>
      <c r="D16" s="17" t="s">
        <v>2866</v>
      </c>
      <c r="E16" s="17" t="s">
        <v>2885</v>
      </c>
      <c r="F16" s="17" t="s">
        <v>2886</v>
      </c>
      <c r="G16" s="17">
        <v>4</v>
      </c>
      <c r="H16" s="17">
        <v>3</v>
      </c>
      <c r="I16" s="17" t="s">
        <v>2887</v>
      </c>
      <c r="J16" s="17" t="s">
        <v>2888</v>
      </c>
      <c r="K16" s="17" t="s">
        <v>2889</v>
      </c>
      <c r="L16" s="17">
        <f>G16*H16</f>
        <v>12</v>
      </c>
      <c r="M16" s="18">
        <v>46426.75</v>
      </c>
      <c r="N16" s="17" t="s">
        <v>2890</v>
      </c>
      <c r="O16" s="17" t="s">
        <v>37</v>
      </c>
      <c r="P16" s="17" t="s">
        <v>37</v>
      </c>
      <c r="Q16" s="17" t="s">
        <v>37</v>
      </c>
    </row>
    <row r="17" ht="46" customHeight="1" spans="1:17" x14ac:dyDescent="0.25">
      <c r="A17" s="20" t="s">
        <v>2912</v>
      </c>
      <c r="B17" s="20" t="s">
        <v>2883</v>
      </c>
      <c r="C17" s="20" t="s">
        <v>2913</v>
      </c>
      <c r="D17" s="20" t="s">
        <v>2282</v>
      </c>
      <c r="E17" s="20" t="s">
        <v>2885</v>
      </c>
      <c r="F17" s="20" t="s">
        <v>2886</v>
      </c>
      <c r="G17" s="20">
        <v>5</v>
      </c>
      <c r="H17" s="20">
        <v>4</v>
      </c>
      <c r="I17" s="20" t="s">
        <v>2887</v>
      </c>
      <c r="J17" s="20" t="s">
        <v>2888</v>
      </c>
      <c r="K17" s="20" t="s">
        <v>2889</v>
      </c>
      <c r="L17" s="20">
        <f>G17*H17</f>
        <v>20</v>
      </c>
      <c r="M17" s="21">
        <v>46430.75</v>
      </c>
      <c r="N17" s="20" t="s">
        <v>2890</v>
      </c>
      <c r="O17" s="20" t="s">
        <v>37</v>
      </c>
      <c r="P17" s="20" t="s">
        <v>37</v>
      </c>
      <c r="Q17" s="20" t="s">
        <v>37</v>
      </c>
    </row>
    <row r="18" ht="46" customHeight="1" spans="1:17" x14ac:dyDescent="0.25">
      <c r="A18" s="17" t="s">
        <v>2914</v>
      </c>
      <c r="B18" s="17" t="s">
        <v>2883</v>
      </c>
      <c r="C18" s="17" t="s">
        <v>2915</v>
      </c>
      <c r="D18" s="17" t="s">
        <v>2019</v>
      </c>
      <c r="E18" s="17" t="s">
        <v>2885</v>
      </c>
      <c r="F18" s="17" t="s">
        <v>2886</v>
      </c>
      <c r="G18" s="17">
        <v>4</v>
      </c>
      <c r="H18" s="17">
        <v>4</v>
      </c>
      <c r="I18" s="17" t="s">
        <v>2887</v>
      </c>
      <c r="J18" s="17" t="s">
        <v>2888</v>
      </c>
      <c r="K18" s="17" t="s">
        <v>2889</v>
      </c>
      <c r="L18" s="17">
        <f>G18*H18</f>
        <v>16</v>
      </c>
      <c r="M18" s="18">
        <v>46436.75</v>
      </c>
      <c r="N18" s="17" t="s">
        <v>2890</v>
      </c>
      <c r="O18" s="17" t="s">
        <v>37</v>
      </c>
      <c r="P18" s="17" t="s">
        <v>37</v>
      </c>
      <c r="Q18" s="17" t="s">
        <v>37</v>
      </c>
    </row>
    <row r="19" ht="46" customHeight="1" spans="1:17" x14ac:dyDescent="0.25">
      <c r="A19" s="20" t="s">
        <v>2916</v>
      </c>
      <c r="B19" s="20" t="s">
        <v>2883</v>
      </c>
      <c r="C19" s="20" t="s">
        <v>2917</v>
      </c>
      <c r="D19" s="20" t="s">
        <v>2057</v>
      </c>
      <c r="E19" s="20" t="s">
        <v>2885</v>
      </c>
      <c r="F19" s="20" t="s">
        <v>2886</v>
      </c>
      <c r="G19" s="20">
        <v>4</v>
      </c>
      <c r="H19" s="20">
        <v>3</v>
      </c>
      <c r="I19" s="20" t="s">
        <v>2887</v>
      </c>
      <c r="J19" s="20" t="s">
        <v>2888</v>
      </c>
      <c r="K19" s="20" t="s">
        <v>2889</v>
      </c>
      <c r="L19" s="20">
        <f>G19*H19</f>
        <v>12</v>
      </c>
      <c r="M19" s="21">
        <v>46442.75</v>
      </c>
      <c r="N19" s="20" t="s">
        <v>2890</v>
      </c>
      <c r="O19" s="20" t="s">
        <v>37</v>
      </c>
      <c r="P19" s="20" t="s">
        <v>37</v>
      </c>
      <c r="Q19" s="20" t="s">
        <v>37</v>
      </c>
    </row>
    <row r="20" ht="46" customHeight="1" spans="1:17" x14ac:dyDescent="0.25">
      <c r="A20" s="17" t="s">
        <v>2918</v>
      </c>
      <c r="B20" s="17" t="s">
        <v>2883</v>
      </c>
      <c r="C20" s="17" t="s">
        <v>2919</v>
      </c>
      <c r="D20" s="17" t="s">
        <v>32</v>
      </c>
      <c r="E20" s="17" t="s">
        <v>2885</v>
      </c>
      <c r="F20" s="17" t="s">
        <v>2886</v>
      </c>
      <c r="G20" s="17">
        <v>5</v>
      </c>
      <c r="H20" s="17">
        <v>5</v>
      </c>
      <c r="I20" s="17" t="s">
        <v>2887</v>
      </c>
      <c r="J20" s="17" t="s">
        <v>2888</v>
      </c>
      <c r="K20" s="17" t="s">
        <v>2889</v>
      </c>
      <c r="L20" s="17">
        <f>G20*H20</f>
        <v>25</v>
      </c>
      <c r="M20" s="18">
        <v>46448.75</v>
      </c>
      <c r="N20" s="17" t="s">
        <v>2890</v>
      </c>
      <c r="O20" s="17" t="s">
        <v>37</v>
      </c>
      <c r="P20" s="17" t="s">
        <v>37</v>
      </c>
      <c r="Q20" s="17" t="s">
        <v>37</v>
      </c>
    </row>
    <row r="21" ht="46" customHeight="1" spans="1:17" x14ac:dyDescent="0.25">
      <c r="A21" s="20" t="s">
        <v>2920</v>
      </c>
      <c r="B21" s="20" t="s">
        <v>2883</v>
      </c>
      <c r="C21" s="20" t="s">
        <v>2921</v>
      </c>
      <c r="D21" s="20" t="s">
        <v>2061</v>
      </c>
      <c r="E21" s="20" t="s">
        <v>2885</v>
      </c>
      <c r="F21" s="20" t="s">
        <v>2886</v>
      </c>
      <c r="G21" s="20">
        <v>5</v>
      </c>
      <c r="H21" s="20">
        <v>3</v>
      </c>
      <c r="I21" s="20" t="s">
        <v>2887</v>
      </c>
      <c r="J21" s="20" t="s">
        <v>2888</v>
      </c>
      <c r="K21" s="20" t="s">
        <v>2889</v>
      </c>
      <c r="L21" s="20">
        <f>G21*H21</f>
        <v>15</v>
      </c>
      <c r="M21" s="21">
        <v>46454.75</v>
      </c>
      <c r="N21" s="20" t="s">
        <v>2890</v>
      </c>
      <c r="O21" s="20" t="s">
        <v>37</v>
      </c>
      <c r="P21" s="20" t="s">
        <v>37</v>
      </c>
      <c r="Q21" s="20" t="s">
        <v>37</v>
      </c>
    </row>
    <row r="22" ht="46" customHeight="1" spans="1:17" x14ac:dyDescent="0.25">
      <c r="A22" s="17" t="s">
        <v>2922</v>
      </c>
      <c r="B22" s="17" t="s">
        <v>2883</v>
      </c>
      <c r="C22" s="17" t="s">
        <v>2923</v>
      </c>
      <c r="D22" s="17" t="s">
        <v>2859</v>
      </c>
      <c r="E22" s="17" t="s">
        <v>2885</v>
      </c>
      <c r="F22" s="17" t="s">
        <v>2886</v>
      </c>
      <c r="G22" s="17">
        <v>5</v>
      </c>
      <c r="H22" s="17">
        <v>3</v>
      </c>
      <c r="I22" s="17" t="s">
        <v>2887</v>
      </c>
      <c r="J22" s="17" t="s">
        <v>2888</v>
      </c>
      <c r="K22" s="17" t="s">
        <v>2889</v>
      </c>
      <c r="L22" s="17">
        <f>G22*H22</f>
        <v>15</v>
      </c>
      <c r="M22" s="18">
        <v>46458.75</v>
      </c>
      <c r="N22" s="17" t="s">
        <v>2890</v>
      </c>
      <c r="O22" s="17" t="s">
        <v>37</v>
      </c>
      <c r="P22" s="17" t="s">
        <v>37</v>
      </c>
      <c r="Q22" s="17" t="s">
        <v>37</v>
      </c>
    </row>
  </sheetData>
  <autoFilter ref="A5:Q22"/>
  <mergeCells count="2">
    <mergeCell ref="A1:Q1"/>
    <mergeCell ref="A2:Q2"/>
  </mergeCells>
  <conditionalFormatting sqref="L6:L22">
    <cfRule type="cellIs" dxfId="3" priority="1" operator="greaterThanOrEqual">
      <formula>15</formula>
    </cfRule>
  </conditionalFormatting>
  <dataValidations count="6">
    <dataValidation type="list" allowBlank="1" showErrorMessage="1" error="Seleccione un valor de la lista." sqref="I10:I22">
      <formula1>'99_Listas'!$J$2:$J$5</formula1>
    </dataValidation>
    <dataValidation type="list" allowBlank="1" showErrorMessage="1" error="Seleccione un valor de la lista." sqref="I6:I22">
      <formula1>'99_Listas'!$J$2:$J$5</formula1>
    </dataValidation>
    <dataValidation type="list" allowBlank="1" showErrorMessage="1" error="Seleccione un valor de la lista." sqref="K10:K22">
      <formula1>'99_Listas'!$F$2:$F$17</formula1>
    </dataValidation>
    <dataValidation type="list" allowBlank="1" showErrorMessage="1" error="Seleccione un valor de la lista." sqref="K6:K22">
      <formula1>'99_Listas'!$F$2:$F$17</formula1>
    </dataValidation>
    <dataValidation type="list" allowBlank="1" showErrorMessage="1" error="Seleccione un valor de la lista." sqref="N10:N22">
      <formula1>'99_Listas'!$H$2:$H$5</formula1>
    </dataValidation>
    <dataValidation type="list" allowBlank="1" showErrorMessage="1" error="Seleccione un valor de la lista." sqref="N6:N22">
      <formula1>'99_Listas'!$H$2:$H$5</formula1>
    </dataValidation>
  </dataValidations>
  <pageMargins left="0.25" right="0.25" top="0.55" bottom="0.55" header="0.2" footer="0.2"/>
  <pageSetup paperSize="9" orientation="landscape" fitToWidth="1" fitToHeight="0"/>
  <headerFooter>
    <oddHeader>&amp;LGENTIA ERP&amp;CPlan de implementación&amp;R&amp;D</oddHeader>
    <oddFooter>&amp;LDocumento de trabajo&amp;CConfidencial&amp;R Página 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15" customWidth="1"/>
    <col min="4" max="4" width="40" customWidth="1"/>
    <col min="5" max="5" width="44" customWidth="1"/>
    <col min="6" max="6" width="15" customWidth="1"/>
    <col min="7" max="7" width="22" customWidth="1"/>
    <col min="8" max="11" width="18" customWidth="1"/>
    <col min="12" max="12" width="16" customWidth="1"/>
    <col min="13" max="13" width="18" customWidth="1"/>
    <col min="14" max="14" width="34" customWidth="1"/>
    <col min="15" max="15" width="25" customWidth="1"/>
    <col min="16" max="16" width="14" customWidth="1"/>
  </cols>
  <sheetData>
    <row r="1" ht="34" customHeight="1" spans="1:16" x14ac:dyDescent="0.25">
      <c r="A1" s="8" t="s">
        <v>2924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ht="26" customHeight="1" spans="1:16" x14ac:dyDescent="0.25">
      <c r="A2" s="9" t="s">
        <v>2925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5" ht="32" customHeight="1" spans="1:16" x14ac:dyDescent="0.25">
      <c r="A5" s="14" t="s">
        <v>65</v>
      </c>
      <c r="B5" s="14" t="s">
        <v>2926</v>
      </c>
      <c r="C5" s="14" t="s">
        <v>2872</v>
      </c>
      <c r="D5" s="14" t="s">
        <v>68</v>
      </c>
      <c r="E5" s="14" t="s">
        <v>2927</v>
      </c>
      <c r="F5" s="14" t="s">
        <v>77</v>
      </c>
      <c r="G5" s="14" t="s">
        <v>2065</v>
      </c>
      <c r="H5" s="14" t="s">
        <v>80</v>
      </c>
      <c r="I5" s="14" t="s">
        <v>81</v>
      </c>
      <c r="J5" s="14" t="s">
        <v>83</v>
      </c>
      <c r="K5" s="14" t="s">
        <v>84</v>
      </c>
      <c r="L5" s="14" t="s">
        <v>85</v>
      </c>
      <c r="M5" s="14" t="s">
        <v>2293</v>
      </c>
      <c r="N5" s="14" t="s">
        <v>2928</v>
      </c>
      <c r="O5" s="14" t="s">
        <v>2142</v>
      </c>
      <c r="P5" s="14" t="s">
        <v>2033</v>
      </c>
    </row>
    <row r="6" ht="46" customHeight="1" spans="1:16" x14ac:dyDescent="0.25">
      <c r="A6" s="17" t="s">
        <v>2929</v>
      </c>
      <c r="B6" s="17" t="s">
        <v>2930</v>
      </c>
      <c r="C6" s="17" t="s">
        <v>2931</v>
      </c>
      <c r="D6" s="17" t="s">
        <v>2932</v>
      </c>
      <c r="E6" s="17" t="s">
        <v>2933</v>
      </c>
      <c r="F6" s="17" t="s">
        <v>2174</v>
      </c>
      <c r="G6" s="17" t="s">
        <v>98</v>
      </c>
      <c r="H6" s="23">
        <v>46466.75</v>
      </c>
      <c r="I6" s="23">
        <v>46466.75</v>
      </c>
      <c r="J6" s="23" t="s">
        <v>37</v>
      </c>
      <c r="K6" s="23" t="s">
        <v>37</v>
      </c>
      <c r="L6" s="17" t="s">
        <v>102</v>
      </c>
      <c r="M6" s="17" t="s">
        <v>2207</v>
      </c>
      <c r="N6" s="17" t="s">
        <v>2934</v>
      </c>
      <c r="O6" s="17" t="s">
        <v>37</v>
      </c>
      <c r="P6" s="17" t="s">
        <v>2207</v>
      </c>
    </row>
    <row r="7" ht="46" customHeight="1" spans="1:16" x14ac:dyDescent="0.25">
      <c r="A7" s="20" t="s">
        <v>2935</v>
      </c>
      <c r="B7" s="20" t="s">
        <v>2936</v>
      </c>
      <c r="C7" s="20" t="s">
        <v>2931</v>
      </c>
      <c r="D7" s="20" t="s">
        <v>2937</v>
      </c>
      <c r="E7" s="20" t="s">
        <v>2938</v>
      </c>
      <c r="F7" s="20" t="s">
        <v>2929</v>
      </c>
      <c r="G7" s="20" t="s">
        <v>98</v>
      </c>
      <c r="H7" s="24">
        <v>46467.75</v>
      </c>
      <c r="I7" s="24">
        <v>46467.75</v>
      </c>
      <c r="J7" s="24" t="s">
        <v>37</v>
      </c>
      <c r="K7" s="24" t="s">
        <v>37</v>
      </c>
      <c r="L7" s="20" t="s">
        <v>102</v>
      </c>
      <c r="M7" s="20" t="s">
        <v>2207</v>
      </c>
      <c r="N7" s="20" t="s">
        <v>2934</v>
      </c>
      <c r="O7" s="20" t="s">
        <v>37</v>
      </c>
      <c r="P7" s="20" t="s">
        <v>2207</v>
      </c>
    </row>
    <row r="8" ht="46" customHeight="1" spans="1:16" x14ac:dyDescent="0.25">
      <c r="A8" s="17" t="s">
        <v>2939</v>
      </c>
      <c r="B8" s="17" t="s">
        <v>2940</v>
      </c>
      <c r="C8" s="17" t="s">
        <v>2931</v>
      </c>
      <c r="D8" s="17" t="s">
        <v>2941</v>
      </c>
      <c r="E8" s="17" t="s">
        <v>2942</v>
      </c>
      <c r="F8" s="17" t="s">
        <v>2935</v>
      </c>
      <c r="G8" s="17" t="s">
        <v>98</v>
      </c>
      <c r="H8" s="23">
        <v>46468.75</v>
      </c>
      <c r="I8" s="23">
        <v>46468.75</v>
      </c>
      <c r="J8" s="23" t="s">
        <v>37</v>
      </c>
      <c r="K8" s="23" t="s">
        <v>37</v>
      </c>
      <c r="L8" s="17" t="s">
        <v>102</v>
      </c>
      <c r="M8" s="17" t="s">
        <v>2207</v>
      </c>
      <c r="N8" s="17" t="s">
        <v>2934</v>
      </c>
      <c r="O8" s="17" t="s">
        <v>37</v>
      </c>
      <c r="P8" s="17" t="s">
        <v>2207</v>
      </c>
    </row>
    <row r="9" ht="46" customHeight="1" spans="1:16" x14ac:dyDescent="0.25">
      <c r="A9" s="20" t="s">
        <v>2943</v>
      </c>
      <c r="B9" s="20" t="s">
        <v>2944</v>
      </c>
      <c r="C9" s="20" t="s">
        <v>2931</v>
      </c>
      <c r="D9" s="20" t="s">
        <v>2945</v>
      </c>
      <c r="E9" s="20" t="s">
        <v>2946</v>
      </c>
      <c r="F9" s="20" t="s">
        <v>2939</v>
      </c>
      <c r="G9" s="20" t="s">
        <v>98</v>
      </c>
      <c r="H9" s="24">
        <v>46469.75</v>
      </c>
      <c r="I9" s="24">
        <v>46469.75</v>
      </c>
      <c r="J9" s="24" t="s">
        <v>37</v>
      </c>
      <c r="K9" s="24" t="s">
        <v>37</v>
      </c>
      <c r="L9" s="20" t="s">
        <v>102</v>
      </c>
      <c r="M9" s="20" t="s">
        <v>2207</v>
      </c>
      <c r="N9" s="20" t="s">
        <v>2934</v>
      </c>
      <c r="O9" s="20" t="s">
        <v>37</v>
      </c>
      <c r="P9" s="20" t="s">
        <v>2207</v>
      </c>
    </row>
    <row r="10" ht="46" customHeight="1" spans="1:16" x14ac:dyDescent="0.25">
      <c r="A10" s="17" t="s">
        <v>2947</v>
      </c>
      <c r="B10" s="17" t="s">
        <v>2948</v>
      </c>
      <c r="C10" s="17" t="s">
        <v>2931</v>
      </c>
      <c r="D10" s="17" t="s">
        <v>2949</v>
      </c>
      <c r="E10" s="17" t="s">
        <v>2950</v>
      </c>
      <c r="F10" s="17" t="s">
        <v>2943</v>
      </c>
      <c r="G10" s="17" t="s">
        <v>98</v>
      </c>
      <c r="H10" s="23">
        <v>46470.75</v>
      </c>
      <c r="I10" s="23">
        <v>46470.75</v>
      </c>
      <c r="J10" s="23" t="s">
        <v>37</v>
      </c>
      <c r="K10" s="23" t="s">
        <v>37</v>
      </c>
      <c r="L10" s="17" t="s">
        <v>102</v>
      </c>
      <c r="M10" s="17" t="s">
        <v>2207</v>
      </c>
      <c r="N10" s="17" t="s">
        <v>2934</v>
      </c>
      <c r="O10" s="17" t="s">
        <v>37</v>
      </c>
      <c r="P10" s="17" t="s">
        <v>2207</v>
      </c>
    </row>
    <row r="11" ht="46" customHeight="1" spans="1:16" x14ac:dyDescent="0.25">
      <c r="A11" s="20" t="s">
        <v>2951</v>
      </c>
      <c r="B11" s="20" t="s">
        <v>2952</v>
      </c>
      <c r="C11" s="20" t="s">
        <v>2931</v>
      </c>
      <c r="D11" s="20" t="s">
        <v>2953</v>
      </c>
      <c r="E11" s="20" t="s">
        <v>2954</v>
      </c>
      <c r="F11" s="20" t="s">
        <v>2947</v>
      </c>
      <c r="G11" s="20" t="s">
        <v>98</v>
      </c>
      <c r="H11" s="24">
        <v>46471.75</v>
      </c>
      <c r="I11" s="24">
        <v>46471.75</v>
      </c>
      <c r="J11" s="24" t="s">
        <v>37</v>
      </c>
      <c r="K11" s="24" t="s">
        <v>37</v>
      </c>
      <c r="L11" s="20" t="s">
        <v>102</v>
      </c>
      <c r="M11" s="20" t="s">
        <v>2207</v>
      </c>
      <c r="N11" s="20" t="s">
        <v>2934</v>
      </c>
      <c r="O11" s="20" t="s">
        <v>37</v>
      </c>
      <c r="P11" s="20" t="s">
        <v>2207</v>
      </c>
    </row>
    <row r="12" ht="46" customHeight="1" spans="1:16" x14ac:dyDescent="0.25">
      <c r="A12" s="17" t="s">
        <v>2955</v>
      </c>
      <c r="B12" s="17" t="s">
        <v>2956</v>
      </c>
      <c r="C12" s="17" t="s">
        <v>2931</v>
      </c>
      <c r="D12" s="17" t="s">
        <v>2957</v>
      </c>
      <c r="E12" s="17" t="s">
        <v>2958</v>
      </c>
      <c r="F12" s="17" t="s">
        <v>2951</v>
      </c>
      <c r="G12" s="17" t="s">
        <v>98</v>
      </c>
      <c r="H12" s="23">
        <v>46472.75</v>
      </c>
      <c r="I12" s="23">
        <v>46472.75</v>
      </c>
      <c r="J12" s="23" t="s">
        <v>37</v>
      </c>
      <c r="K12" s="23" t="s">
        <v>37</v>
      </c>
      <c r="L12" s="17" t="s">
        <v>102</v>
      </c>
      <c r="M12" s="17" t="s">
        <v>2207</v>
      </c>
      <c r="N12" s="17" t="s">
        <v>2934</v>
      </c>
      <c r="O12" s="17" t="s">
        <v>37</v>
      </c>
      <c r="P12" s="17" t="s">
        <v>2207</v>
      </c>
    </row>
    <row r="13" ht="46" customHeight="1" spans="1:16" x14ac:dyDescent="0.25">
      <c r="A13" s="20" t="s">
        <v>2959</v>
      </c>
      <c r="B13" s="20" t="s">
        <v>2960</v>
      </c>
      <c r="C13" s="20" t="s">
        <v>2931</v>
      </c>
      <c r="D13" s="20" t="s">
        <v>2961</v>
      </c>
      <c r="E13" s="20" t="s">
        <v>2962</v>
      </c>
      <c r="F13" s="20" t="s">
        <v>2955</v>
      </c>
      <c r="G13" s="20" t="s">
        <v>98</v>
      </c>
      <c r="H13" s="24">
        <v>46473.75</v>
      </c>
      <c r="I13" s="24">
        <v>46473.75</v>
      </c>
      <c r="J13" s="24" t="s">
        <v>37</v>
      </c>
      <c r="K13" s="24" t="s">
        <v>37</v>
      </c>
      <c r="L13" s="20" t="s">
        <v>102</v>
      </c>
      <c r="M13" s="20" t="s">
        <v>2207</v>
      </c>
      <c r="N13" s="20" t="s">
        <v>2934</v>
      </c>
      <c r="O13" s="20" t="s">
        <v>37</v>
      </c>
      <c r="P13" s="20" t="s">
        <v>2207</v>
      </c>
    </row>
    <row r="14" ht="46" customHeight="1" spans="1:16" x14ac:dyDescent="0.25">
      <c r="A14" s="17" t="s">
        <v>2963</v>
      </c>
      <c r="B14" s="17" t="s">
        <v>2964</v>
      </c>
      <c r="C14" s="17" t="s">
        <v>2931</v>
      </c>
      <c r="D14" s="17" t="s">
        <v>2965</v>
      </c>
      <c r="E14" s="17" t="s">
        <v>2966</v>
      </c>
      <c r="F14" s="17" t="s">
        <v>2959</v>
      </c>
      <c r="G14" s="17" t="s">
        <v>98</v>
      </c>
      <c r="H14" s="23">
        <v>46474.75</v>
      </c>
      <c r="I14" s="23">
        <v>46474.75</v>
      </c>
      <c r="J14" s="23" t="s">
        <v>37</v>
      </c>
      <c r="K14" s="23" t="s">
        <v>37</v>
      </c>
      <c r="L14" s="17" t="s">
        <v>102</v>
      </c>
      <c r="M14" s="17" t="s">
        <v>2207</v>
      </c>
      <c r="N14" s="17" t="s">
        <v>2934</v>
      </c>
      <c r="O14" s="17" t="s">
        <v>37</v>
      </c>
      <c r="P14" s="17" t="s">
        <v>2207</v>
      </c>
    </row>
    <row r="15" ht="46" customHeight="1" spans="1:16" x14ac:dyDescent="0.25">
      <c r="A15" s="20" t="s">
        <v>2967</v>
      </c>
      <c r="B15" s="20" t="s">
        <v>2968</v>
      </c>
      <c r="C15" s="20" t="s">
        <v>2931</v>
      </c>
      <c r="D15" s="20" t="s">
        <v>2969</v>
      </c>
      <c r="E15" s="20" t="s">
        <v>2970</v>
      </c>
      <c r="F15" s="20" t="s">
        <v>2963</v>
      </c>
      <c r="G15" s="20" t="s">
        <v>98</v>
      </c>
      <c r="H15" s="24">
        <v>46475.75</v>
      </c>
      <c r="I15" s="24">
        <v>46475.75</v>
      </c>
      <c r="J15" s="24" t="s">
        <v>37</v>
      </c>
      <c r="K15" s="24" t="s">
        <v>37</v>
      </c>
      <c r="L15" s="20" t="s">
        <v>102</v>
      </c>
      <c r="M15" s="20" t="s">
        <v>2207</v>
      </c>
      <c r="N15" s="20" t="s">
        <v>2934</v>
      </c>
      <c r="O15" s="20" t="s">
        <v>37</v>
      </c>
      <c r="P15" s="20" t="s">
        <v>2207</v>
      </c>
    </row>
    <row r="16" ht="46" customHeight="1" spans="1:16" x14ac:dyDescent="0.25">
      <c r="A16" s="17" t="s">
        <v>2971</v>
      </c>
      <c r="B16" s="17" t="s">
        <v>2972</v>
      </c>
      <c r="C16" s="17" t="s">
        <v>2931</v>
      </c>
      <c r="D16" s="17" t="s">
        <v>2973</v>
      </c>
      <c r="E16" s="17" t="s">
        <v>2974</v>
      </c>
      <c r="F16" s="17" t="s">
        <v>2967</v>
      </c>
      <c r="G16" s="17" t="s">
        <v>98</v>
      </c>
      <c r="H16" s="23">
        <v>46476.75</v>
      </c>
      <c r="I16" s="23">
        <v>46476.75</v>
      </c>
      <c r="J16" s="23" t="s">
        <v>37</v>
      </c>
      <c r="K16" s="23" t="s">
        <v>37</v>
      </c>
      <c r="L16" s="17" t="s">
        <v>102</v>
      </c>
      <c r="M16" s="17" t="s">
        <v>2207</v>
      </c>
      <c r="N16" s="17" t="s">
        <v>2934</v>
      </c>
      <c r="O16" s="17" t="s">
        <v>37</v>
      </c>
      <c r="P16" s="17" t="s">
        <v>2207</v>
      </c>
    </row>
    <row r="17" ht="46" customHeight="1" spans="1:16" x14ac:dyDescent="0.25">
      <c r="A17" s="20" t="s">
        <v>2975</v>
      </c>
      <c r="B17" s="20" t="s">
        <v>2976</v>
      </c>
      <c r="C17" s="20" t="s">
        <v>2931</v>
      </c>
      <c r="D17" s="20" t="s">
        <v>2977</v>
      </c>
      <c r="E17" s="20" t="s">
        <v>2978</v>
      </c>
      <c r="F17" s="20" t="s">
        <v>2971</v>
      </c>
      <c r="G17" s="20" t="s">
        <v>98</v>
      </c>
      <c r="H17" s="24">
        <v>46477.75</v>
      </c>
      <c r="I17" s="24">
        <v>46477.75</v>
      </c>
      <c r="J17" s="24" t="s">
        <v>37</v>
      </c>
      <c r="K17" s="24" t="s">
        <v>37</v>
      </c>
      <c r="L17" s="20" t="s">
        <v>102</v>
      </c>
      <c r="M17" s="20" t="s">
        <v>2207</v>
      </c>
      <c r="N17" s="20" t="s">
        <v>2934</v>
      </c>
      <c r="O17" s="20" t="s">
        <v>37</v>
      </c>
      <c r="P17" s="20" t="s">
        <v>2207</v>
      </c>
    </row>
    <row r="18" ht="46" customHeight="1" spans="1:16" x14ac:dyDescent="0.25">
      <c r="A18" s="17" t="s">
        <v>2979</v>
      </c>
      <c r="B18" s="17" t="s">
        <v>2980</v>
      </c>
      <c r="C18" s="17" t="s">
        <v>2931</v>
      </c>
      <c r="D18" s="17" t="s">
        <v>2981</v>
      </c>
      <c r="E18" s="17" t="s">
        <v>2982</v>
      </c>
      <c r="F18" s="17" t="s">
        <v>2975</v>
      </c>
      <c r="G18" s="17" t="s">
        <v>98</v>
      </c>
      <c r="H18" s="23">
        <v>46478.75</v>
      </c>
      <c r="I18" s="23">
        <v>46478.75</v>
      </c>
      <c r="J18" s="23" t="s">
        <v>37</v>
      </c>
      <c r="K18" s="23" t="s">
        <v>37</v>
      </c>
      <c r="L18" s="17" t="s">
        <v>102</v>
      </c>
      <c r="M18" s="17" t="s">
        <v>2207</v>
      </c>
      <c r="N18" s="17" t="s">
        <v>2934</v>
      </c>
      <c r="O18" s="17" t="s">
        <v>37</v>
      </c>
      <c r="P18" s="17" t="s">
        <v>2207</v>
      </c>
    </row>
    <row r="19" ht="46" customHeight="1" spans="1:16" x14ac:dyDescent="0.25">
      <c r="A19" s="20" t="s">
        <v>2983</v>
      </c>
      <c r="B19" s="20" t="s">
        <v>2984</v>
      </c>
      <c r="C19" s="20" t="s">
        <v>2931</v>
      </c>
      <c r="D19" s="20" t="s">
        <v>2985</v>
      </c>
      <c r="E19" s="20" t="s">
        <v>2986</v>
      </c>
      <c r="F19" s="20" t="s">
        <v>2979</v>
      </c>
      <c r="G19" s="20" t="s">
        <v>98</v>
      </c>
      <c r="H19" s="24">
        <v>46479.75</v>
      </c>
      <c r="I19" s="24">
        <v>46479.75</v>
      </c>
      <c r="J19" s="24" t="s">
        <v>37</v>
      </c>
      <c r="K19" s="24" t="s">
        <v>37</v>
      </c>
      <c r="L19" s="20" t="s">
        <v>102</v>
      </c>
      <c r="M19" s="20" t="s">
        <v>2207</v>
      </c>
      <c r="N19" s="20" t="s">
        <v>2934</v>
      </c>
      <c r="O19" s="20" t="s">
        <v>37</v>
      </c>
      <c r="P19" s="20" t="s">
        <v>2207</v>
      </c>
    </row>
    <row r="20" ht="46" customHeight="1" spans="1:16" x14ac:dyDescent="0.25">
      <c r="A20" s="17" t="s">
        <v>2987</v>
      </c>
      <c r="B20" s="17" t="s">
        <v>2988</v>
      </c>
      <c r="C20" s="17" t="s">
        <v>2931</v>
      </c>
      <c r="D20" s="17" t="s">
        <v>2989</v>
      </c>
      <c r="E20" s="17" t="s">
        <v>2990</v>
      </c>
      <c r="F20" s="17" t="s">
        <v>2983</v>
      </c>
      <c r="G20" s="17" t="s">
        <v>98</v>
      </c>
      <c r="H20" s="23">
        <v>46480.75</v>
      </c>
      <c r="I20" s="23">
        <v>46480.75</v>
      </c>
      <c r="J20" s="23" t="s">
        <v>37</v>
      </c>
      <c r="K20" s="23" t="s">
        <v>37</v>
      </c>
      <c r="L20" s="17" t="s">
        <v>102</v>
      </c>
      <c r="M20" s="17" t="s">
        <v>2207</v>
      </c>
      <c r="N20" s="17" t="s">
        <v>2934</v>
      </c>
      <c r="O20" s="17" t="s">
        <v>37</v>
      </c>
      <c r="P20" s="17" t="s">
        <v>2207</v>
      </c>
    </row>
    <row r="21" ht="46" customHeight="1" spans="1:16" x14ac:dyDescent="0.25">
      <c r="A21" s="20" t="s">
        <v>2991</v>
      </c>
      <c r="B21" s="20" t="s">
        <v>2992</v>
      </c>
      <c r="C21" s="20" t="s">
        <v>2931</v>
      </c>
      <c r="D21" s="20" t="s">
        <v>2993</v>
      </c>
      <c r="E21" s="20" t="s">
        <v>2994</v>
      </c>
      <c r="F21" s="20" t="s">
        <v>2987</v>
      </c>
      <c r="G21" s="20" t="s">
        <v>98</v>
      </c>
      <c r="H21" s="24">
        <v>46481.75</v>
      </c>
      <c r="I21" s="24">
        <v>46481.75</v>
      </c>
      <c r="J21" s="24" t="s">
        <v>37</v>
      </c>
      <c r="K21" s="24" t="s">
        <v>37</v>
      </c>
      <c r="L21" s="20" t="s">
        <v>102</v>
      </c>
      <c r="M21" s="20" t="s">
        <v>2207</v>
      </c>
      <c r="N21" s="20" t="s">
        <v>2934</v>
      </c>
      <c r="O21" s="20" t="s">
        <v>37</v>
      </c>
      <c r="P21" s="20" t="s">
        <v>2207</v>
      </c>
    </row>
    <row r="22" ht="46" customHeight="1" spans="1:16" x14ac:dyDescent="0.25">
      <c r="A22" s="17" t="s">
        <v>2995</v>
      </c>
      <c r="B22" s="17" t="s">
        <v>2996</v>
      </c>
      <c r="C22" s="17" t="s">
        <v>2931</v>
      </c>
      <c r="D22" s="17" t="s">
        <v>2997</v>
      </c>
      <c r="E22" s="17" t="s">
        <v>2998</v>
      </c>
      <c r="F22" s="17" t="s">
        <v>2991</v>
      </c>
      <c r="G22" s="17" t="s">
        <v>98</v>
      </c>
      <c r="H22" s="23">
        <v>46482.75</v>
      </c>
      <c r="I22" s="23">
        <v>46482.75</v>
      </c>
      <c r="J22" s="23" t="s">
        <v>37</v>
      </c>
      <c r="K22" s="23" t="s">
        <v>37</v>
      </c>
      <c r="L22" s="17" t="s">
        <v>102</v>
      </c>
      <c r="M22" s="17" t="s">
        <v>2207</v>
      </c>
      <c r="N22" s="17" t="s">
        <v>2934</v>
      </c>
      <c r="O22" s="17" t="s">
        <v>37</v>
      </c>
      <c r="P22" s="17" t="s">
        <v>2207</v>
      </c>
    </row>
    <row r="23" ht="46" customHeight="1" spans="1:16" x14ac:dyDescent="0.25">
      <c r="A23" s="20" t="s">
        <v>2999</v>
      </c>
      <c r="B23" s="20" t="s">
        <v>3000</v>
      </c>
      <c r="C23" s="20" t="s">
        <v>2931</v>
      </c>
      <c r="D23" s="20" t="s">
        <v>3001</v>
      </c>
      <c r="E23" s="20" t="s">
        <v>3002</v>
      </c>
      <c r="F23" s="20" t="s">
        <v>2995</v>
      </c>
      <c r="G23" s="20" t="s">
        <v>98</v>
      </c>
      <c r="H23" s="24">
        <v>46483.75</v>
      </c>
      <c r="I23" s="24">
        <v>46483.75</v>
      </c>
      <c r="J23" s="24" t="s">
        <v>37</v>
      </c>
      <c r="K23" s="24" t="s">
        <v>37</v>
      </c>
      <c r="L23" s="20" t="s">
        <v>102</v>
      </c>
      <c r="M23" s="20" t="s">
        <v>2207</v>
      </c>
      <c r="N23" s="20" t="s">
        <v>2934</v>
      </c>
      <c r="O23" s="20" t="s">
        <v>37</v>
      </c>
      <c r="P23" s="20" t="s">
        <v>2207</v>
      </c>
    </row>
    <row r="24" ht="46" customHeight="1" spans="1:16" x14ac:dyDescent="0.25">
      <c r="A24" s="17" t="s">
        <v>3003</v>
      </c>
      <c r="B24" s="17" t="s">
        <v>3004</v>
      </c>
      <c r="C24" s="17" t="s">
        <v>2931</v>
      </c>
      <c r="D24" s="17" t="s">
        <v>3005</v>
      </c>
      <c r="E24" s="17" t="s">
        <v>3006</v>
      </c>
      <c r="F24" s="17" t="s">
        <v>2999</v>
      </c>
      <c r="G24" s="17" t="s">
        <v>98</v>
      </c>
      <c r="H24" s="23">
        <v>46495.75</v>
      </c>
      <c r="I24" s="23">
        <v>46495.75</v>
      </c>
      <c r="J24" s="23" t="s">
        <v>37</v>
      </c>
      <c r="K24" s="23" t="s">
        <v>37</v>
      </c>
      <c r="L24" s="17" t="s">
        <v>102</v>
      </c>
      <c r="M24" s="17" t="s">
        <v>2207</v>
      </c>
      <c r="N24" s="17" t="s">
        <v>2934</v>
      </c>
      <c r="O24" s="17" t="s">
        <v>37</v>
      </c>
      <c r="P24" s="17" t="s">
        <v>2207</v>
      </c>
    </row>
    <row r="25" ht="46" customHeight="1" spans="1:16" x14ac:dyDescent="0.25">
      <c r="A25" s="20" t="s">
        <v>3007</v>
      </c>
      <c r="B25" s="20" t="s">
        <v>3004</v>
      </c>
      <c r="C25" s="20" t="s">
        <v>2931</v>
      </c>
      <c r="D25" s="20" t="s">
        <v>3008</v>
      </c>
      <c r="E25" s="20" t="s">
        <v>3009</v>
      </c>
      <c r="F25" s="20" t="s">
        <v>3003</v>
      </c>
      <c r="G25" s="20" t="s">
        <v>98</v>
      </c>
      <c r="H25" s="24">
        <v>46495.75</v>
      </c>
      <c r="I25" s="24">
        <v>46495.75</v>
      </c>
      <c r="J25" s="24" t="s">
        <v>37</v>
      </c>
      <c r="K25" s="24" t="s">
        <v>37</v>
      </c>
      <c r="L25" s="20" t="s">
        <v>102</v>
      </c>
      <c r="M25" s="20" t="s">
        <v>2207</v>
      </c>
      <c r="N25" s="20" t="s">
        <v>2934</v>
      </c>
      <c r="O25" s="20" t="s">
        <v>37</v>
      </c>
      <c r="P25" s="20" t="s">
        <v>2207</v>
      </c>
    </row>
    <row r="26" ht="46" customHeight="1" spans="1:16" x14ac:dyDescent="0.25">
      <c r="A26" s="17" t="s">
        <v>3010</v>
      </c>
      <c r="B26" s="17" t="s">
        <v>3004</v>
      </c>
      <c r="C26" s="17" t="s">
        <v>2931</v>
      </c>
      <c r="D26" s="17" t="s">
        <v>3011</v>
      </c>
      <c r="E26" s="17" t="s">
        <v>3012</v>
      </c>
      <c r="F26" s="17" t="s">
        <v>3007</v>
      </c>
      <c r="G26" s="17" t="s">
        <v>98</v>
      </c>
      <c r="H26" s="23">
        <v>46495.75</v>
      </c>
      <c r="I26" s="23">
        <v>46495.75</v>
      </c>
      <c r="J26" s="23" t="s">
        <v>37</v>
      </c>
      <c r="K26" s="23" t="s">
        <v>37</v>
      </c>
      <c r="L26" s="17" t="s">
        <v>102</v>
      </c>
      <c r="M26" s="17" t="s">
        <v>2207</v>
      </c>
      <c r="N26" s="17" t="s">
        <v>2934</v>
      </c>
      <c r="O26" s="17" t="s">
        <v>37</v>
      </c>
      <c r="P26" s="17" t="s">
        <v>2207</v>
      </c>
    </row>
    <row r="27" ht="46" customHeight="1" spans="1:16" x14ac:dyDescent="0.25">
      <c r="A27" s="20" t="s">
        <v>3013</v>
      </c>
      <c r="B27" s="20" t="s">
        <v>3004</v>
      </c>
      <c r="C27" s="20" t="s">
        <v>2931</v>
      </c>
      <c r="D27" s="20" t="s">
        <v>3014</v>
      </c>
      <c r="E27" s="20" t="s">
        <v>3015</v>
      </c>
      <c r="F27" s="20" t="s">
        <v>3010</v>
      </c>
      <c r="G27" s="20" t="s">
        <v>98</v>
      </c>
      <c r="H27" s="24">
        <v>46495.75</v>
      </c>
      <c r="I27" s="24">
        <v>46495.75</v>
      </c>
      <c r="J27" s="24" t="s">
        <v>37</v>
      </c>
      <c r="K27" s="24" t="s">
        <v>37</v>
      </c>
      <c r="L27" s="20" t="s">
        <v>102</v>
      </c>
      <c r="M27" s="20" t="s">
        <v>2207</v>
      </c>
      <c r="N27" s="20" t="s">
        <v>2934</v>
      </c>
      <c r="O27" s="20" t="s">
        <v>37</v>
      </c>
      <c r="P27" s="20" t="s">
        <v>2207</v>
      </c>
    </row>
    <row r="28" ht="46" customHeight="1" spans="1:16" x14ac:dyDescent="0.25">
      <c r="A28" s="17" t="s">
        <v>3016</v>
      </c>
      <c r="B28" s="17" t="s">
        <v>3004</v>
      </c>
      <c r="C28" s="17" t="s">
        <v>2931</v>
      </c>
      <c r="D28" s="17" t="s">
        <v>3017</v>
      </c>
      <c r="E28" s="17" t="s">
        <v>3018</v>
      </c>
      <c r="F28" s="17" t="s">
        <v>3013</v>
      </c>
      <c r="G28" s="17" t="s">
        <v>98</v>
      </c>
      <c r="H28" s="23">
        <v>46495.75</v>
      </c>
      <c r="I28" s="23">
        <v>46495.75</v>
      </c>
      <c r="J28" s="23" t="s">
        <v>37</v>
      </c>
      <c r="K28" s="23" t="s">
        <v>37</v>
      </c>
      <c r="L28" s="17" t="s">
        <v>102</v>
      </c>
      <c r="M28" s="17" t="s">
        <v>2207</v>
      </c>
      <c r="N28" s="17" t="s">
        <v>2934</v>
      </c>
      <c r="O28" s="17" t="s">
        <v>37</v>
      </c>
      <c r="P28" s="17" t="s">
        <v>2207</v>
      </c>
    </row>
    <row r="29" ht="46" customHeight="1" spans="1:16" x14ac:dyDescent="0.25">
      <c r="A29" s="20" t="s">
        <v>3019</v>
      </c>
      <c r="B29" s="20" t="s">
        <v>3004</v>
      </c>
      <c r="C29" s="20" t="s">
        <v>2931</v>
      </c>
      <c r="D29" s="20" t="s">
        <v>3020</v>
      </c>
      <c r="E29" s="20" t="s">
        <v>3021</v>
      </c>
      <c r="F29" s="20" t="s">
        <v>3016</v>
      </c>
      <c r="G29" s="20" t="s">
        <v>98</v>
      </c>
      <c r="H29" s="24">
        <v>46495.75</v>
      </c>
      <c r="I29" s="24">
        <v>46495.75</v>
      </c>
      <c r="J29" s="24" t="s">
        <v>37</v>
      </c>
      <c r="K29" s="24" t="s">
        <v>37</v>
      </c>
      <c r="L29" s="20" t="s">
        <v>102</v>
      </c>
      <c r="M29" s="20" t="s">
        <v>2207</v>
      </c>
      <c r="N29" s="20" t="s">
        <v>2934</v>
      </c>
      <c r="O29" s="20" t="s">
        <v>37</v>
      </c>
      <c r="P29" s="20" t="s">
        <v>2207</v>
      </c>
    </row>
    <row r="30" ht="46" customHeight="1" spans="1:16" x14ac:dyDescent="0.25">
      <c r="A30" s="17" t="s">
        <v>3022</v>
      </c>
      <c r="B30" s="17" t="s">
        <v>3004</v>
      </c>
      <c r="C30" s="17" t="s">
        <v>2931</v>
      </c>
      <c r="D30" s="17" t="s">
        <v>3023</v>
      </c>
      <c r="E30" s="17" t="s">
        <v>3024</v>
      </c>
      <c r="F30" s="17" t="s">
        <v>3019</v>
      </c>
      <c r="G30" s="17" t="s">
        <v>98</v>
      </c>
      <c r="H30" s="23">
        <v>46495.75</v>
      </c>
      <c r="I30" s="23">
        <v>46495.75</v>
      </c>
      <c r="J30" s="23" t="s">
        <v>37</v>
      </c>
      <c r="K30" s="23" t="s">
        <v>37</v>
      </c>
      <c r="L30" s="17" t="s">
        <v>102</v>
      </c>
      <c r="M30" s="17" t="s">
        <v>2207</v>
      </c>
      <c r="N30" s="17" t="s">
        <v>2934</v>
      </c>
      <c r="O30" s="17" t="s">
        <v>37</v>
      </c>
      <c r="P30" s="17" t="s">
        <v>2207</v>
      </c>
    </row>
    <row r="31" ht="46" customHeight="1" spans="1:16" x14ac:dyDescent="0.25">
      <c r="A31" s="20" t="s">
        <v>3025</v>
      </c>
      <c r="B31" s="20" t="s">
        <v>3026</v>
      </c>
      <c r="C31" s="20" t="s">
        <v>2931</v>
      </c>
      <c r="D31" s="20" t="s">
        <v>3027</v>
      </c>
      <c r="E31" s="20" t="s">
        <v>3028</v>
      </c>
      <c r="F31" s="20" t="s">
        <v>3022</v>
      </c>
      <c r="G31" s="20" t="s">
        <v>98</v>
      </c>
      <c r="H31" s="24">
        <v>46497.75</v>
      </c>
      <c r="I31" s="24">
        <v>46497.75</v>
      </c>
      <c r="J31" s="24" t="s">
        <v>37</v>
      </c>
      <c r="K31" s="24" t="s">
        <v>37</v>
      </c>
      <c r="L31" s="20" t="s">
        <v>102</v>
      </c>
      <c r="M31" s="20" t="s">
        <v>2207</v>
      </c>
      <c r="N31" s="20" t="s">
        <v>2934</v>
      </c>
      <c r="O31" s="20" t="s">
        <v>37</v>
      </c>
      <c r="P31" s="20" t="s">
        <v>2207</v>
      </c>
    </row>
    <row r="32" ht="46" customHeight="1" spans="1:16" x14ac:dyDescent="0.25">
      <c r="A32" s="17" t="s">
        <v>3029</v>
      </c>
      <c r="B32" s="17" t="s">
        <v>3030</v>
      </c>
      <c r="C32" s="17" t="s">
        <v>2931</v>
      </c>
      <c r="D32" s="17" t="s">
        <v>3031</v>
      </c>
      <c r="E32" s="17" t="s">
        <v>3032</v>
      </c>
      <c r="F32" s="17" t="s">
        <v>3025</v>
      </c>
      <c r="G32" s="17" t="s">
        <v>98</v>
      </c>
      <c r="H32" s="23">
        <v>46498.75</v>
      </c>
      <c r="I32" s="23">
        <v>46498.75</v>
      </c>
      <c r="J32" s="23" t="s">
        <v>37</v>
      </c>
      <c r="K32" s="23" t="s">
        <v>37</v>
      </c>
      <c r="L32" s="17" t="s">
        <v>102</v>
      </c>
      <c r="M32" s="17" t="s">
        <v>2207</v>
      </c>
      <c r="N32" s="17" t="s">
        <v>2934</v>
      </c>
      <c r="O32" s="17" t="s">
        <v>37</v>
      </c>
      <c r="P32" s="17" t="s">
        <v>2207</v>
      </c>
    </row>
    <row r="33" ht="46" customHeight="1" spans="1:16" x14ac:dyDescent="0.25">
      <c r="A33" s="20" t="s">
        <v>3033</v>
      </c>
      <c r="B33" s="20" t="s">
        <v>3034</v>
      </c>
      <c r="C33" s="20" t="s">
        <v>2931</v>
      </c>
      <c r="D33" s="20" t="s">
        <v>3035</v>
      </c>
      <c r="E33" s="20" t="s">
        <v>3036</v>
      </c>
      <c r="F33" s="20" t="s">
        <v>3029</v>
      </c>
      <c r="G33" s="20" t="s">
        <v>98</v>
      </c>
      <c r="H33" s="24">
        <v>46499.75</v>
      </c>
      <c r="I33" s="24">
        <v>46499.75</v>
      </c>
      <c r="J33" s="24" t="s">
        <v>37</v>
      </c>
      <c r="K33" s="24" t="s">
        <v>37</v>
      </c>
      <c r="L33" s="20" t="s">
        <v>102</v>
      </c>
      <c r="M33" s="20" t="s">
        <v>2207</v>
      </c>
      <c r="N33" s="20" t="s">
        <v>2934</v>
      </c>
      <c r="O33" s="20" t="s">
        <v>37</v>
      </c>
      <c r="P33" s="20" t="s">
        <v>2207</v>
      </c>
    </row>
    <row r="34" ht="46" customHeight="1" spans="1:16" x14ac:dyDescent="0.25">
      <c r="A34" s="17" t="s">
        <v>3037</v>
      </c>
      <c r="B34" s="17" t="s">
        <v>3038</v>
      </c>
      <c r="C34" s="17" t="s">
        <v>2931</v>
      </c>
      <c r="D34" s="17" t="s">
        <v>3039</v>
      </c>
      <c r="E34" s="17" t="s">
        <v>3040</v>
      </c>
      <c r="F34" s="17" t="s">
        <v>3033</v>
      </c>
      <c r="G34" s="17" t="s">
        <v>98</v>
      </c>
      <c r="H34" s="23">
        <v>46500.75</v>
      </c>
      <c r="I34" s="23">
        <v>46500.75</v>
      </c>
      <c r="J34" s="23" t="s">
        <v>37</v>
      </c>
      <c r="K34" s="23" t="s">
        <v>37</v>
      </c>
      <c r="L34" s="17" t="s">
        <v>102</v>
      </c>
      <c r="M34" s="17" t="s">
        <v>2207</v>
      </c>
      <c r="N34" s="17" t="s">
        <v>2934</v>
      </c>
      <c r="O34" s="17" t="s">
        <v>37</v>
      </c>
      <c r="P34" s="17" t="s">
        <v>2207</v>
      </c>
    </row>
    <row r="35" ht="46" customHeight="1" spans="1:16" x14ac:dyDescent="0.25">
      <c r="A35" s="20" t="s">
        <v>3041</v>
      </c>
      <c r="B35" s="20" t="s">
        <v>3042</v>
      </c>
      <c r="C35" s="20" t="s">
        <v>2931</v>
      </c>
      <c r="D35" s="20" t="s">
        <v>3043</v>
      </c>
      <c r="E35" s="20" t="s">
        <v>3044</v>
      </c>
      <c r="F35" s="20" t="s">
        <v>3037</v>
      </c>
      <c r="G35" s="20" t="s">
        <v>98</v>
      </c>
      <c r="H35" s="24">
        <v>46501.75</v>
      </c>
      <c r="I35" s="24">
        <v>46501.75</v>
      </c>
      <c r="J35" s="24" t="s">
        <v>37</v>
      </c>
      <c r="K35" s="24" t="s">
        <v>37</v>
      </c>
      <c r="L35" s="20" t="s">
        <v>102</v>
      </c>
      <c r="M35" s="20" t="s">
        <v>2207</v>
      </c>
      <c r="N35" s="20" t="s">
        <v>2934</v>
      </c>
      <c r="O35" s="20" t="s">
        <v>37</v>
      </c>
      <c r="P35" s="20" t="s">
        <v>2207</v>
      </c>
    </row>
    <row r="36" ht="46" customHeight="1" spans="1:16" x14ac:dyDescent="0.25">
      <c r="A36" s="17" t="s">
        <v>3045</v>
      </c>
      <c r="B36" s="17" t="s">
        <v>3046</v>
      </c>
      <c r="C36" s="17" t="s">
        <v>2931</v>
      </c>
      <c r="D36" s="17" t="s">
        <v>3047</v>
      </c>
      <c r="E36" s="17" t="s">
        <v>3048</v>
      </c>
      <c r="F36" s="17" t="s">
        <v>3041</v>
      </c>
      <c r="G36" s="17" t="s">
        <v>98</v>
      </c>
      <c r="H36" s="23">
        <v>46502.75</v>
      </c>
      <c r="I36" s="23">
        <v>46502.75</v>
      </c>
      <c r="J36" s="23" t="s">
        <v>37</v>
      </c>
      <c r="K36" s="23" t="s">
        <v>37</v>
      </c>
      <c r="L36" s="17" t="s">
        <v>102</v>
      </c>
      <c r="M36" s="17" t="s">
        <v>2207</v>
      </c>
      <c r="N36" s="17" t="s">
        <v>2934</v>
      </c>
      <c r="O36" s="17" t="s">
        <v>37</v>
      </c>
      <c r="P36" s="17" t="s">
        <v>2207</v>
      </c>
    </row>
    <row r="37" ht="46" customHeight="1" spans="1:16" x14ac:dyDescent="0.25">
      <c r="A37" s="20" t="s">
        <v>3049</v>
      </c>
      <c r="B37" s="20" t="s">
        <v>3050</v>
      </c>
      <c r="C37" s="20" t="s">
        <v>2931</v>
      </c>
      <c r="D37" s="20" t="s">
        <v>3051</v>
      </c>
      <c r="E37" s="20" t="s">
        <v>3052</v>
      </c>
      <c r="F37" s="20" t="s">
        <v>3045</v>
      </c>
      <c r="G37" s="20" t="s">
        <v>98</v>
      </c>
      <c r="H37" s="24">
        <v>46503.75</v>
      </c>
      <c r="I37" s="24">
        <v>46503.75</v>
      </c>
      <c r="J37" s="24" t="s">
        <v>37</v>
      </c>
      <c r="K37" s="24" t="s">
        <v>37</v>
      </c>
      <c r="L37" s="20" t="s">
        <v>102</v>
      </c>
      <c r="M37" s="20" t="s">
        <v>2207</v>
      </c>
      <c r="N37" s="20" t="s">
        <v>2934</v>
      </c>
      <c r="O37" s="20" t="s">
        <v>37</v>
      </c>
      <c r="P37" s="20" t="s">
        <v>2207</v>
      </c>
    </row>
    <row r="38" ht="46" customHeight="1" spans="1:16" x14ac:dyDescent="0.25">
      <c r="A38" s="17" t="s">
        <v>3053</v>
      </c>
      <c r="B38" s="17" t="s">
        <v>3054</v>
      </c>
      <c r="C38" s="17" t="s">
        <v>2931</v>
      </c>
      <c r="D38" s="17" t="s">
        <v>3055</v>
      </c>
      <c r="E38" s="17" t="s">
        <v>3056</v>
      </c>
      <c r="F38" s="17" t="s">
        <v>3049</v>
      </c>
      <c r="G38" s="17" t="s">
        <v>98</v>
      </c>
      <c r="H38" s="23">
        <v>46504.75</v>
      </c>
      <c r="I38" s="23">
        <v>46504.75</v>
      </c>
      <c r="J38" s="23" t="s">
        <v>37</v>
      </c>
      <c r="K38" s="23" t="s">
        <v>37</v>
      </c>
      <c r="L38" s="17" t="s">
        <v>102</v>
      </c>
      <c r="M38" s="17" t="s">
        <v>2207</v>
      </c>
      <c r="N38" s="17" t="s">
        <v>2934</v>
      </c>
      <c r="O38" s="17" t="s">
        <v>37</v>
      </c>
      <c r="P38" s="17" t="s">
        <v>2207</v>
      </c>
    </row>
    <row r="39" ht="46" customHeight="1" spans="1:16" x14ac:dyDescent="0.25">
      <c r="A39" s="20" t="s">
        <v>3057</v>
      </c>
      <c r="B39" s="20" t="s">
        <v>3058</v>
      </c>
      <c r="C39" s="20" t="s">
        <v>2931</v>
      </c>
      <c r="D39" s="20" t="s">
        <v>3059</v>
      </c>
      <c r="E39" s="20" t="s">
        <v>3060</v>
      </c>
      <c r="F39" s="20" t="s">
        <v>3053</v>
      </c>
      <c r="G39" s="20" t="s">
        <v>98</v>
      </c>
      <c r="H39" s="24">
        <v>46505.75</v>
      </c>
      <c r="I39" s="24">
        <v>46505.75</v>
      </c>
      <c r="J39" s="24" t="s">
        <v>37</v>
      </c>
      <c r="K39" s="24" t="s">
        <v>37</v>
      </c>
      <c r="L39" s="20" t="s">
        <v>102</v>
      </c>
      <c r="M39" s="20" t="s">
        <v>2207</v>
      </c>
      <c r="N39" s="20" t="s">
        <v>2934</v>
      </c>
      <c r="O39" s="20" t="s">
        <v>37</v>
      </c>
      <c r="P39" s="20" t="s">
        <v>2207</v>
      </c>
    </row>
    <row r="40" ht="46" customHeight="1" spans="1:16" x14ac:dyDescent="0.25">
      <c r="A40" s="17" t="s">
        <v>3061</v>
      </c>
      <c r="B40" s="17" t="s">
        <v>3062</v>
      </c>
      <c r="C40" s="17" t="s">
        <v>2931</v>
      </c>
      <c r="D40" s="17" t="s">
        <v>3063</v>
      </c>
      <c r="E40" s="17" t="s">
        <v>3064</v>
      </c>
      <c r="F40" s="17" t="s">
        <v>3057</v>
      </c>
      <c r="G40" s="17" t="s">
        <v>98</v>
      </c>
      <c r="H40" s="23">
        <v>46506.75</v>
      </c>
      <c r="I40" s="23">
        <v>46506.75</v>
      </c>
      <c r="J40" s="23" t="s">
        <v>37</v>
      </c>
      <c r="K40" s="23" t="s">
        <v>37</v>
      </c>
      <c r="L40" s="17" t="s">
        <v>102</v>
      </c>
      <c r="M40" s="17" t="s">
        <v>2207</v>
      </c>
      <c r="N40" s="17" t="s">
        <v>2934</v>
      </c>
      <c r="O40" s="17" t="s">
        <v>37</v>
      </c>
      <c r="P40" s="17" t="s">
        <v>2207</v>
      </c>
    </row>
    <row r="41" ht="46" customHeight="1" spans="1:16" x14ac:dyDescent="0.25">
      <c r="A41" s="20" t="s">
        <v>3065</v>
      </c>
      <c r="B41" s="20" t="s">
        <v>3066</v>
      </c>
      <c r="C41" s="20" t="s">
        <v>2931</v>
      </c>
      <c r="D41" s="20" t="s">
        <v>3067</v>
      </c>
      <c r="E41" s="20" t="s">
        <v>3068</v>
      </c>
      <c r="F41" s="20" t="s">
        <v>3061</v>
      </c>
      <c r="G41" s="20" t="s">
        <v>98</v>
      </c>
      <c r="H41" s="24">
        <v>46507.75</v>
      </c>
      <c r="I41" s="24">
        <v>46507.75</v>
      </c>
      <c r="J41" s="24" t="s">
        <v>37</v>
      </c>
      <c r="K41" s="24" t="s">
        <v>37</v>
      </c>
      <c r="L41" s="20" t="s">
        <v>102</v>
      </c>
      <c r="M41" s="20" t="s">
        <v>2207</v>
      </c>
      <c r="N41" s="20" t="s">
        <v>2934</v>
      </c>
      <c r="O41" s="20" t="s">
        <v>37</v>
      </c>
      <c r="P41" s="20" t="s">
        <v>2207</v>
      </c>
    </row>
    <row r="42" ht="46" customHeight="1" spans="1:16" x14ac:dyDescent="0.25">
      <c r="A42" s="17" t="s">
        <v>3069</v>
      </c>
      <c r="B42" s="17" t="s">
        <v>3070</v>
      </c>
      <c r="C42" s="17" t="s">
        <v>2931</v>
      </c>
      <c r="D42" s="17" t="s">
        <v>3071</v>
      </c>
      <c r="E42" s="17" t="s">
        <v>3072</v>
      </c>
      <c r="F42" s="17" t="s">
        <v>3065</v>
      </c>
      <c r="G42" s="17" t="s">
        <v>98</v>
      </c>
      <c r="H42" s="23">
        <v>46508.75</v>
      </c>
      <c r="I42" s="23">
        <v>46508.75</v>
      </c>
      <c r="J42" s="23" t="s">
        <v>37</v>
      </c>
      <c r="K42" s="23" t="s">
        <v>37</v>
      </c>
      <c r="L42" s="17" t="s">
        <v>102</v>
      </c>
      <c r="M42" s="17" t="s">
        <v>2207</v>
      </c>
      <c r="N42" s="17" t="s">
        <v>2934</v>
      </c>
      <c r="O42" s="17" t="s">
        <v>37</v>
      </c>
      <c r="P42" s="17" t="s">
        <v>2207</v>
      </c>
    </row>
  </sheetData>
  <autoFilter ref="A5:P42"/>
  <mergeCells count="2">
    <mergeCell ref="A1:P1"/>
    <mergeCell ref="A2:P2"/>
  </mergeCells>
  <dataValidations count="8">
    <dataValidation type="list" allowBlank="1" showErrorMessage="1" error="Seleccione un valor de la lista." sqref="G10:G42">
      <formula1>'99_Listas'!$F$2:$F$17</formula1>
    </dataValidation>
    <dataValidation type="list" allowBlank="1" showErrorMessage="1" error="Seleccione un valor de la lista." sqref="G6:G42">
      <formula1>'99_Listas'!$F$2:$F$17</formula1>
    </dataValidation>
    <dataValidation type="list" allowBlank="1" showErrorMessage="1" error="Seleccione un valor de la lista." sqref="L10:L42">
      <formula1>'99_Listas'!$A$2:$A$7</formula1>
    </dataValidation>
    <dataValidation type="list" allowBlank="1" showErrorMessage="1" error="Seleccione un valor de la lista." sqref="L6:L42">
      <formula1>'99_Listas'!$A$2:$A$7</formula1>
    </dataValidation>
    <dataValidation type="list" allowBlank="1" showErrorMessage="1" error="Seleccione un valor de la lista." sqref="M10:M42">
      <formula1>'99_Listas'!$D$2:$D$6</formula1>
    </dataValidation>
    <dataValidation type="list" allowBlank="1" showErrorMessage="1" error="Seleccione un valor de la lista." sqref="M6:M42">
      <formula1>'99_Listas'!$D$2:$D$6</formula1>
    </dataValidation>
    <dataValidation type="list" allowBlank="1" showErrorMessage="1" error="Seleccione un valor de la lista." sqref="P10:P42">
      <formula1>'99_Listas'!$C$2:$C$3</formula1>
    </dataValidation>
    <dataValidation type="list" allowBlank="1" showErrorMessage="1" error="Seleccione un valor de la lista." sqref="P6:P42">
      <formula1>'99_Listas'!$C$2:$C$3</formula1>
    </dataValidation>
  </dataValidations>
  <pageMargins left="0.25" right="0.25" top="0.55" bottom="0.55" header="0.2" footer="0.2"/>
  <pageSetup paperSize="9" orientation="landscape" fitToWidth="1" fitToHeight="0"/>
  <headerFooter>
    <oddHeader>&amp;LGENTIA ERP&amp;CPlan de implementación&amp;R&amp;D</oddHeader>
    <oddFooter>&amp;LDocumento de trabajo&amp;CConfidencial&amp;R Página 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8" customWidth="1"/>
    <col min="3" max="3" width="23" customWidth="1"/>
    <col min="4" max="4" width="42" customWidth="1"/>
    <col min="5" max="5" width="14" customWidth="1"/>
    <col min="6" max="6" width="18" customWidth="1"/>
    <col min="7" max="7" width="10" customWidth="1"/>
    <col min="8" max="8" width="22" customWidth="1"/>
    <col min="9" max="9" width="14" customWidth="1"/>
    <col min="10" max="11" width="18" customWidth="1"/>
    <col min="12" max="12" width="34" customWidth="1"/>
    <col min="13" max="13" width="30" customWidth="1"/>
    <col min="14" max="14" width="34" customWidth="1"/>
    <col min="15" max="15" width="25" customWidth="1"/>
    <col min="16" max="16" width="14" customWidth="1"/>
    <col min="17" max="17" width="25" customWidth="1"/>
  </cols>
  <sheetData>
    <row r="1" ht="34" customHeight="1" spans="1:17" x14ac:dyDescent="0.25">
      <c r="A1" s="8" t="s">
        <v>3073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ht="26" customHeight="1" spans="1:17" x14ac:dyDescent="0.25">
      <c r="A2" s="9" t="s">
        <v>3074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5" ht="32" customHeight="1" spans="1:17" x14ac:dyDescent="0.25">
      <c r="A5" s="14" t="s">
        <v>65</v>
      </c>
      <c r="B5" s="14" t="s">
        <v>2872</v>
      </c>
      <c r="C5" s="14" t="s">
        <v>35</v>
      </c>
      <c r="D5" s="14" t="s">
        <v>2873</v>
      </c>
      <c r="E5" s="14" t="s">
        <v>3075</v>
      </c>
      <c r="F5" s="14" t="s">
        <v>3076</v>
      </c>
      <c r="G5" s="14" t="s">
        <v>3077</v>
      </c>
      <c r="H5" s="14" t="s">
        <v>2065</v>
      </c>
      <c r="I5" s="14" t="s">
        <v>85</v>
      </c>
      <c r="J5" s="14" t="s">
        <v>3078</v>
      </c>
      <c r="K5" s="14" t="s">
        <v>2881</v>
      </c>
      <c r="L5" s="14" t="s">
        <v>3079</v>
      </c>
      <c r="M5" s="14" t="s">
        <v>3080</v>
      </c>
      <c r="N5" s="14" t="s">
        <v>3081</v>
      </c>
      <c r="O5" s="14" t="s">
        <v>2142</v>
      </c>
      <c r="P5" s="14" t="s">
        <v>3082</v>
      </c>
      <c r="Q5" s="14" t="s">
        <v>88</v>
      </c>
    </row>
    <row r="6" ht="46" customHeight="1" spans="1:17" x14ac:dyDescent="0.25">
      <c r="A6" s="17" t="s">
        <v>3083</v>
      </c>
      <c r="B6" s="17" t="s">
        <v>3084</v>
      </c>
      <c r="C6" s="17" t="s">
        <v>3085</v>
      </c>
      <c r="D6" s="17" t="s">
        <v>3086</v>
      </c>
      <c r="E6" s="17" t="s">
        <v>101</v>
      </c>
      <c r="F6" s="25">
        <v>46496.75</v>
      </c>
      <c r="G6" s="17">
        <v>24</v>
      </c>
      <c r="H6" s="17" t="s">
        <v>2845</v>
      </c>
      <c r="I6" s="17" t="s">
        <v>2890</v>
      </c>
      <c r="J6" s="25">
        <v>46497.75</v>
      </c>
      <c r="K6" s="17" t="s">
        <v>37</v>
      </c>
      <c r="L6" s="17" t="s">
        <v>37</v>
      </c>
      <c r="M6" s="17" t="s">
        <v>37</v>
      </c>
      <c r="N6" s="17" t="s">
        <v>37</v>
      </c>
      <c r="O6" s="17" t="s">
        <v>37</v>
      </c>
      <c r="P6" s="17" t="str">
        <f>IF(OR(F6="",K6=""),"",IF((K6-F6)*24&lt;=G6,"Sí","No"))</f>
        <v/>
      </c>
      <c r="Q6" s="17" t="s">
        <v>37</v>
      </c>
    </row>
    <row r="7" ht="46" customHeight="1" spans="1:17" x14ac:dyDescent="0.25">
      <c r="A7" s="20" t="s">
        <v>3087</v>
      </c>
      <c r="B7" s="20" t="s">
        <v>3084</v>
      </c>
      <c r="C7" s="20" t="s">
        <v>3085</v>
      </c>
      <c r="D7" s="20" t="s">
        <v>3088</v>
      </c>
      <c r="E7" s="20" t="s">
        <v>101</v>
      </c>
      <c r="F7" s="26">
        <v>46497.75</v>
      </c>
      <c r="G7" s="20">
        <v>24</v>
      </c>
      <c r="H7" s="20" t="s">
        <v>2845</v>
      </c>
      <c r="I7" s="20" t="s">
        <v>2890</v>
      </c>
      <c r="J7" s="26">
        <v>46498.75</v>
      </c>
      <c r="K7" s="20" t="s">
        <v>37</v>
      </c>
      <c r="L7" s="20" t="s">
        <v>37</v>
      </c>
      <c r="M7" s="20" t="s">
        <v>37</v>
      </c>
      <c r="N7" s="20" t="s">
        <v>37</v>
      </c>
      <c r="O7" s="20" t="s">
        <v>37</v>
      </c>
      <c r="P7" s="20" t="str">
        <f>IF(OR(F7="",K7=""),"",IF((K7-F7)*24&lt;=G7,"Sí","No"))</f>
        <v/>
      </c>
      <c r="Q7" s="20" t="s">
        <v>37</v>
      </c>
    </row>
    <row r="8" ht="46" customHeight="1" spans="1:17" x14ac:dyDescent="0.25">
      <c r="A8" s="17" t="s">
        <v>3089</v>
      </c>
      <c r="B8" s="17" t="s">
        <v>3084</v>
      </c>
      <c r="C8" s="17" t="s">
        <v>3085</v>
      </c>
      <c r="D8" s="17" t="s">
        <v>3090</v>
      </c>
      <c r="E8" s="17" t="s">
        <v>101</v>
      </c>
      <c r="F8" s="25">
        <v>46498.75</v>
      </c>
      <c r="G8" s="17">
        <v>24</v>
      </c>
      <c r="H8" s="17" t="s">
        <v>2845</v>
      </c>
      <c r="I8" s="17" t="s">
        <v>2890</v>
      </c>
      <c r="J8" s="25">
        <v>46499.75</v>
      </c>
      <c r="K8" s="17" t="s">
        <v>37</v>
      </c>
      <c r="L8" s="17" t="s">
        <v>37</v>
      </c>
      <c r="M8" s="17" t="s">
        <v>37</v>
      </c>
      <c r="N8" s="17" t="s">
        <v>37</v>
      </c>
      <c r="O8" s="17" t="s">
        <v>37</v>
      </c>
      <c r="P8" s="17" t="str">
        <f>IF(OR(F8="",K8=""),"",IF((K8-F8)*24&lt;=G8,"Sí","No"))</f>
        <v/>
      </c>
      <c r="Q8" s="17" t="s">
        <v>37</v>
      </c>
    </row>
    <row r="9" ht="46" customHeight="1" spans="1:17" x14ac:dyDescent="0.25">
      <c r="A9" s="20" t="s">
        <v>3091</v>
      </c>
      <c r="B9" s="20" t="s">
        <v>3084</v>
      </c>
      <c r="C9" s="20" t="s">
        <v>3085</v>
      </c>
      <c r="D9" s="20" t="s">
        <v>3092</v>
      </c>
      <c r="E9" s="20" t="s">
        <v>101</v>
      </c>
      <c r="F9" s="26">
        <v>46499.75</v>
      </c>
      <c r="G9" s="20">
        <v>24</v>
      </c>
      <c r="H9" s="20" t="s">
        <v>2845</v>
      </c>
      <c r="I9" s="20" t="s">
        <v>2890</v>
      </c>
      <c r="J9" s="26">
        <v>46500.75</v>
      </c>
      <c r="K9" s="20" t="s">
        <v>37</v>
      </c>
      <c r="L9" s="20" t="s">
        <v>37</v>
      </c>
      <c r="M9" s="20" t="s">
        <v>37</v>
      </c>
      <c r="N9" s="20" t="s">
        <v>37</v>
      </c>
      <c r="O9" s="20" t="s">
        <v>37</v>
      </c>
      <c r="P9" s="20" t="str">
        <f>IF(OR(F9="",K9=""),"",IF((K9-F9)*24&lt;=G9,"Sí","No"))</f>
        <v/>
      </c>
      <c r="Q9" s="20" t="s">
        <v>37</v>
      </c>
    </row>
    <row r="10" ht="46" customHeight="1" spans="1:17" x14ac:dyDescent="0.25">
      <c r="A10" s="17" t="s">
        <v>3093</v>
      </c>
      <c r="B10" s="17" t="s">
        <v>3084</v>
      </c>
      <c r="C10" s="17" t="s">
        <v>3085</v>
      </c>
      <c r="D10" s="17" t="s">
        <v>3094</v>
      </c>
      <c r="E10" s="17" t="s">
        <v>101</v>
      </c>
      <c r="F10" s="25">
        <v>46500.75</v>
      </c>
      <c r="G10" s="17">
        <v>24</v>
      </c>
      <c r="H10" s="17" t="s">
        <v>2845</v>
      </c>
      <c r="I10" s="17" t="s">
        <v>2890</v>
      </c>
      <c r="J10" s="25">
        <v>46501.75</v>
      </c>
      <c r="K10" s="17" t="s">
        <v>37</v>
      </c>
      <c r="L10" s="17" t="s">
        <v>37</v>
      </c>
      <c r="M10" s="17" t="s">
        <v>37</v>
      </c>
      <c r="N10" s="17" t="s">
        <v>37</v>
      </c>
      <c r="O10" s="17" t="s">
        <v>37</v>
      </c>
      <c r="P10" s="17" t="str">
        <f>IF(OR(F10="",K10=""),"",IF((K10-F10)*24&lt;=G10,"Sí","No"))</f>
        <v/>
      </c>
      <c r="Q10" s="17" t="s">
        <v>37</v>
      </c>
    </row>
    <row r="11" ht="46" customHeight="1" spans="1:17" x14ac:dyDescent="0.25">
      <c r="A11" s="20" t="s">
        <v>3095</v>
      </c>
      <c r="B11" s="20" t="s">
        <v>3084</v>
      </c>
      <c r="C11" s="20" t="s">
        <v>3085</v>
      </c>
      <c r="D11" s="20" t="s">
        <v>3096</v>
      </c>
      <c r="E11" s="20" t="s">
        <v>101</v>
      </c>
      <c r="F11" s="26">
        <v>46501.75</v>
      </c>
      <c r="G11" s="20">
        <v>24</v>
      </c>
      <c r="H11" s="20" t="s">
        <v>2845</v>
      </c>
      <c r="I11" s="20" t="s">
        <v>2890</v>
      </c>
      <c r="J11" s="26">
        <v>46502.75</v>
      </c>
      <c r="K11" s="20" t="s">
        <v>37</v>
      </c>
      <c r="L11" s="20" t="s">
        <v>37</v>
      </c>
      <c r="M11" s="20" t="s">
        <v>37</v>
      </c>
      <c r="N11" s="20" t="s">
        <v>37</v>
      </c>
      <c r="O11" s="20" t="s">
        <v>37</v>
      </c>
      <c r="P11" s="20" t="str">
        <f>IF(OR(F11="",K11=""),"",IF((K11-F11)*24&lt;=G11,"Sí","No"))</f>
        <v/>
      </c>
      <c r="Q11" s="20" t="s">
        <v>37</v>
      </c>
    </row>
    <row r="12" ht="46" customHeight="1" spans="1:17" x14ac:dyDescent="0.25">
      <c r="A12" s="17" t="s">
        <v>3097</v>
      </c>
      <c r="B12" s="17" t="s">
        <v>3084</v>
      </c>
      <c r="C12" s="17" t="s">
        <v>3085</v>
      </c>
      <c r="D12" s="17" t="s">
        <v>3098</v>
      </c>
      <c r="E12" s="17" t="s">
        <v>101</v>
      </c>
      <c r="F12" s="25">
        <v>46502.75</v>
      </c>
      <c r="G12" s="17">
        <v>24</v>
      </c>
      <c r="H12" s="17" t="s">
        <v>2845</v>
      </c>
      <c r="I12" s="17" t="s">
        <v>2890</v>
      </c>
      <c r="J12" s="25">
        <v>46503.75</v>
      </c>
      <c r="K12" s="17" t="s">
        <v>37</v>
      </c>
      <c r="L12" s="17" t="s">
        <v>37</v>
      </c>
      <c r="M12" s="17" t="s">
        <v>37</v>
      </c>
      <c r="N12" s="17" t="s">
        <v>37</v>
      </c>
      <c r="O12" s="17" t="s">
        <v>37</v>
      </c>
      <c r="P12" s="17" t="str">
        <f>IF(OR(F12="",K12=""),"",IF((K12-F12)*24&lt;=G12,"Sí","No"))</f>
        <v/>
      </c>
      <c r="Q12" s="17" t="s">
        <v>37</v>
      </c>
    </row>
    <row r="13" ht="46" customHeight="1" spans="1:17" x14ac:dyDescent="0.25">
      <c r="A13" s="20" t="s">
        <v>3099</v>
      </c>
      <c r="B13" s="20" t="s">
        <v>3084</v>
      </c>
      <c r="C13" s="20" t="s">
        <v>3085</v>
      </c>
      <c r="D13" s="20" t="s">
        <v>3100</v>
      </c>
      <c r="E13" s="20" t="s">
        <v>101</v>
      </c>
      <c r="F13" s="26">
        <v>46503.75</v>
      </c>
      <c r="G13" s="20">
        <v>24</v>
      </c>
      <c r="H13" s="20" t="s">
        <v>2845</v>
      </c>
      <c r="I13" s="20" t="s">
        <v>2890</v>
      </c>
      <c r="J13" s="26">
        <v>46504.75</v>
      </c>
      <c r="K13" s="20" t="s">
        <v>37</v>
      </c>
      <c r="L13" s="20" t="s">
        <v>37</v>
      </c>
      <c r="M13" s="20" t="s">
        <v>37</v>
      </c>
      <c r="N13" s="20" t="s">
        <v>37</v>
      </c>
      <c r="O13" s="20" t="s">
        <v>37</v>
      </c>
      <c r="P13" s="20" t="str">
        <f>IF(OR(F13="",K13=""),"",IF((K13-F13)*24&lt;=G13,"Sí","No"))</f>
        <v/>
      </c>
      <c r="Q13" s="20" t="s">
        <v>37</v>
      </c>
    </row>
    <row r="14" ht="46" customHeight="1" spans="1:17" x14ac:dyDescent="0.25">
      <c r="A14" s="17" t="s">
        <v>3101</v>
      </c>
      <c r="B14" s="17" t="s">
        <v>3084</v>
      </c>
      <c r="C14" s="17" t="s">
        <v>3085</v>
      </c>
      <c r="D14" s="17" t="s">
        <v>3102</v>
      </c>
      <c r="E14" s="17" t="s">
        <v>101</v>
      </c>
      <c r="F14" s="25">
        <v>46504.75</v>
      </c>
      <c r="G14" s="17">
        <v>24</v>
      </c>
      <c r="H14" s="17" t="s">
        <v>2845</v>
      </c>
      <c r="I14" s="17" t="s">
        <v>2890</v>
      </c>
      <c r="J14" s="25">
        <v>46505.75</v>
      </c>
      <c r="K14" s="17" t="s">
        <v>37</v>
      </c>
      <c r="L14" s="17" t="s">
        <v>37</v>
      </c>
      <c r="M14" s="17" t="s">
        <v>37</v>
      </c>
      <c r="N14" s="17" t="s">
        <v>37</v>
      </c>
      <c r="O14" s="17" t="s">
        <v>37</v>
      </c>
      <c r="P14" s="17" t="str">
        <f>IF(OR(F14="",K14=""),"",IF((K14-F14)*24&lt;=G14,"Sí","No"))</f>
        <v/>
      </c>
      <c r="Q14" s="17" t="s">
        <v>37</v>
      </c>
    </row>
    <row r="15" ht="46" customHeight="1" spans="1:17" x14ac:dyDescent="0.25">
      <c r="A15" s="20" t="s">
        <v>3103</v>
      </c>
      <c r="B15" s="20" t="s">
        <v>3084</v>
      </c>
      <c r="C15" s="20" t="s">
        <v>3085</v>
      </c>
      <c r="D15" s="20" t="s">
        <v>3104</v>
      </c>
      <c r="E15" s="20" t="s">
        <v>101</v>
      </c>
      <c r="F15" s="26">
        <v>46505.75</v>
      </c>
      <c r="G15" s="20">
        <v>24</v>
      </c>
      <c r="H15" s="20" t="s">
        <v>2845</v>
      </c>
      <c r="I15" s="20" t="s">
        <v>2890</v>
      </c>
      <c r="J15" s="26">
        <v>46506.75</v>
      </c>
      <c r="K15" s="20" t="s">
        <v>37</v>
      </c>
      <c r="L15" s="20" t="s">
        <v>37</v>
      </c>
      <c r="M15" s="20" t="s">
        <v>37</v>
      </c>
      <c r="N15" s="20" t="s">
        <v>37</v>
      </c>
      <c r="O15" s="20" t="s">
        <v>37</v>
      </c>
      <c r="P15" s="20" t="str">
        <f>IF(OR(F15="",K15=""),"",IF((K15-F15)*24&lt;=G15,"Sí","No"))</f>
        <v/>
      </c>
      <c r="Q15" s="20" t="s">
        <v>37</v>
      </c>
    </row>
    <row r="16" ht="46" customHeight="1" spans="1:17" x14ac:dyDescent="0.25">
      <c r="A16" s="17" t="s">
        <v>3105</v>
      </c>
      <c r="B16" s="17" t="s">
        <v>3084</v>
      </c>
      <c r="C16" s="17" t="s">
        <v>3085</v>
      </c>
      <c r="D16" s="17" t="s">
        <v>3106</v>
      </c>
      <c r="E16" s="17" t="s">
        <v>101</v>
      </c>
      <c r="F16" s="25">
        <v>46506.75</v>
      </c>
      <c r="G16" s="17">
        <v>24</v>
      </c>
      <c r="H16" s="17" t="s">
        <v>2845</v>
      </c>
      <c r="I16" s="17" t="s">
        <v>2890</v>
      </c>
      <c r="J16" s="25">
        <v>46507.75</v>
      </c>
      <c r="K16" s="17" t="s">
        <v>37</v>
      </c>
      <c r="L16" s="17" t="s">
        <v>37</v>
      </c>
      <c r="M16" s="17" t="s">
        <v>37</v>
      </c>
      <c r="N16" s="17" t="s">
        <v>37</v>
      </c>
      <c r="O16" s="17" t="s">
        <v>37</v>
      </c>
      <c r="P16" s="17" t="str">
        <f>IF(OR(F16="",K16=""),"",IF((K16-F16)*24&lt;=G16,"Sí","No"))</f>
        <v/>
      </c>
      <c r="Q16" s="17" t="s">
        <v>37</v>
      </c>
    </row>
    <row r="17" ht="46" customHeight="1" spans="1:17" x14ac:dyDescent="0.25">
      <c r="A17" s="20" t="s">
        <v>3107</v>
      </c>
      <c r="B17" s="20" t="s">
        <v>3084</v>
      </c>
      <c r="C17" s="20" t="s">
        <v>3085</v>
      </c>
      <c r="D17" s="20" t="s">
        <v>3108</v>
      </c>
      <c r="E17" s="20" t="s">
        <v>101</v>
      </c>
      <c r="F17" s="26">
        <v>46507.75</v>
      </c>
      <c r="G17" s="20">
        <v>24</v>
      </c>
      <c r="H17" s="20" t="s">
        <v>2845</v>
      </c>
      <c r="I17" s="20" t="s">
        <v>2890</v>
      </c>
      <c r="J17" s="26">
        <v>46508.75</v>
      </c>
      <c r="K17" s="20" t="s">
        <v>37</v>
      </c>
      <c r="L17" s="20" t="s">
        <v>37</v>
      </c>
      <c r="M17" s="20" t="s">
        <v>37</v>
      </c>
      <c r="N17" s="20" t="s">
        <v>37</v>
      </c>
      <c r="O17" s="20" t="s">
        <v>37</v>
      </c>
      <c r="P17" s="20" t="str">
        <f>IF(OR(F17="",K17=""),"",IF((K17-F17)*24&lt;=G17,"Sí","No"))</f>
        <v/>
      </c>
      <c r="Q17" s="20" t="s">
        <v>37</v>
      </c>
    </row>
    <row r="18" ht="46" customHeight="1" spans="1:17" x14ac:dyDescent="0.25">
      <c r="A18" s="17" t="s">
        <v>3109</v>
      </c>
      <c r="B18" s="17" t="s">
        <v>2295</v>
      </c>
      <c r="C18" s="17" t="s">
        <v>37</v>
      </c>
      <c r="D18" s="17" t="s">
        <v>37</v>
      </c>
      <c r="E18" s="17" t="s">
        <v>37</v>
      </c>
      <c r="F18" s="17" t="s">
        <v>37</v>
      </c>
      <c r="G18" s="17">
        <v>24</v>
      </c>
      <c r="H18" s="17" t="s">
        <v>2845</v>
      </c>
      <c r="I18" s="17" t="s">
        <v>2890</v>
      </c>
      <c r="J18" s="17" t="s">
        <v>37</v>
      </c>
      <c r="K18" s="17" t="s">
        <v>37</v>
      </c>
      <c r="L18" s="17" t="s">
        <v>37</v>
      </c>
      <c r="M18" s="17" t="s">
        <v>37</v>
      </c>
      <c r="N18" s="17" t="s">
        <v>37</v>
      </c>
      <c r="O18" s="17" t="s">
        <v>37</v>
      </c>
      <c r="P18" s="17" t="str">
        <f>IF(OR(F18="",K18=""),"",IF((K18-F18)*24&lt;=G18,"Sí","No"))</f>
        <v/>
      </c>
      <c r="Q18" s="17" t="s">
        <v>37</v>
      </c>
    </row>
    <row r="19" ht="46" customHeight="1" spans="1:17" x14ac:dyDescent="0.25">
      <c r="A19" s="20" t="s">
        <v>3110</v>
      </c>
      <c r="B19" s="20" t="s">
        <v>2295</v>
      </c>
      <c r="C19" s="20" t="s">
        <v>37</v>
      </c>
      <c r="D19" s="20" t="s">
        <v>37</v>
      </c>
      <c r="E19" s="20" t="s">
        <v>37</v>
      </c>
      <c r="F19" s="20" t="s">
        <v>37</v>
      </c>
      <c r="G19" s="20">
        <v>24</v>
      </c>
      <c r="H19" s="20" t="s">
        <v>2845</v>
      </c>
      <c r="I19" s="20" t="s">
        <v>2890</v>
      </c>
      <c r="J19" s="20" t="s">
        <v>37</v>
      </c>
      <c r="K19" s="20" t="s">
        <v>37</v>
      </c>
      <c r="L19" s="20" t="s">
        <v>37</v>
      </c>
      <c r="M19" s="20" t="s">
        <v>37</v>
      </c>
      <c r="N19" s="20" t="s">
        <v>37</v>
      </c>
      <c r="O19" s="20" t="s">
        <v>37</v>
      </c>
      <c r="P19" s="20" t="str">
        <f>IF(OR(F19="",K19=""),"",IF((K19-F19)*24&lt;=G19,"Sí","No"))</f>
        <v/>
      </c>
      <c r="Q19" s="20" t="s">
        <v>37</v>
      </c>
    </row>
    <row r="20" ht="46" customHeight="1" spans="1:17" x14ac:dyDescent="0.25">
      <c r="A20" s="17" t="s">
        <v>3111</v>
      </c>
      <c r="B20" s="17" t="s">
        <v>2295</v>
      </c>
      <c r="C20" s="17" t="s">
        <v>37</v>
      </c>
      <c r="D20" s="17" t="s">
        <v>37</v>
      </c>
      <c r="E20" s="17" t="s">
        <v>37</v>
      </c>
      <c r="F20" s="17" t="s">
        <v>37</v>
      </c>
      <c r="G20" s="17">
        <v>24</v>
      </c>
      <c r="H20" s="17" t="s">
        <v>2845</v>
      </c>
      <c r="I20" s="17" t="s">
        <v>2890</v>
      </c>
      <c r="J20" s="17" t="s">
        <v>37</v>
      </c>
      <c r="K20" s="17" t="s">
        <v>37</v>
      </c>
      <c r="L20" s="17" t="s">
        <v>37</v>
      </c>
      <c r="M20" s="17" t="s">
        <v>37</v>
      </c>
      <c r="N20" s="17" t="s">
        <v>37</v>
      </c>
      <c r="O20" s="17" t="s">
        <v>37</v>
      </c>
      <c r="P20" s="17" t="str">
        <f>IF(OR(F20="",K20=""),"",IF((K20-F20)*24&lt;=G20,"Sí","No"))</f>
        <v/>
      </c>
      <c r="Q20" s="17" t="s">
        <v>37</v>
      </c>
    </row>
    <row r="21" ht="46" customHeight="1" spans="1:17" x14ac:dyDescent="0.25">
      <c r="A21" s="20" t="s">
        <v>3112</v>
      </c>
      <c r="B21" s="20" t="s">
        <v>2295</v>
      </c>
      <c r="C21" s="20" t="s">
        <v>37</v>
      </c>
      <c r="D21" s="20" t="s">
        <v>37</v>
      </c>
      <c r="E21" s="20" t="s">
        <v>37</v>
      </c>
      <c r="F21" s="20" t="s">
        <v>37</v>
      </c>
      <c r="G21" s="20">
        <v>24</v>
      </c>
      <c r="H21" s="20" t="s">
        <v>2845</v>
      </c>
      <c r="I21" s="20" t="s">
        <v>2890</v>
      </c>
      <c r="J21" s="20" t="s">
        <v>37</v>
      </c>
      <c r="K21" s="20" t="s">
        <v>37</v>
      </c>
      <c r="L21" s="20" t="s">
        <v>37</v>
      </c>
      <c r="M21" s="20" t="s">
        <v>37</v>
      </c>
      <c r="N21" s="20" t="s">
        <v>37</v>
      </c>
      <c r="O21" s="20" t="s">
        <v>37</v>
      </c>
      <c r="P21" s="20" t="str">
        <f>IF(OR(F21="",K21=""),"",IF((K21-F21)*24&lt;=G21,"Sí","No"))</f>
        <v/>
      </c>
      <c r="Q21" s="20" t="s">
        <v>37</v>
      </c>
    </row>
    <row r="22" ht="46" customHeight="1" spans="1:17" x14ac:dyDescent="0.25">
      <c r="A22" s="17" t="s">
        <v>3113</v>
      </c>
      <c r="B22" s="17" t="s">
        <v>2295</v>
      </c>
      <c r="C22" s="17" t="s">
        <v>37</v>
      </c>
      <c r="D22" s="17" t="s">
        <v>37</v>
      </c>
      <c r="E22" s="17" t="s">
        <v>37</v>
      </c>
      <c r="F22" s="17" t="s">
        <v>37</v>
      </c>
      <c r="G22" s="17">
        <v>24</v>
      </c>
      <c r="H22" s="17" t="s">
        <v>2845</v>
      </c>
      <c r="I22" s="17" t="s">
        <v>2890</v>
      </c>
      <c r="J22" s="17" t="s">
        <v>37</v>
      </c>
      <c r="K22" s="17" t="s">
        <v>37</v>
      </c>
      <c r="L22" s="17" t="s">
        <v>37</v>
      </c>
      <c r="M22" s="17" t="s">
        <v>37</v>
      </c>
      <c r="N22" s="17" t="s">
        <v>37</v>
      </c>
      <c r="O22" s="17" t="s">
        <v>37</v>
      </c>
      <c r="P22" s="17" t="str">
        <f>IF(OR(F22="",K22=""),"",IF((K22-F22)*24&lt;=G22,"Sí","No"))</f>
        <v/>
      </c>
      <c r="Q22" s="17" t="s">
        <v>37</v>
      </c>
    </row>
    <row r="23" ht="46" customHeight="1" spans="1:17" x14ac:dyDescent="0.25">
      <c r="A23" s="20" t="s">
        <v>3114</v>
      </c>
      <c r="B23" s="20" t="s">
        <v>2295</v>
      </c>
      <c r="C23" s="20" t="s">
        <v>37</v>
      </c>
      <c r="D23" s="20" t="s">
        <v>37</v>
      </c>
      <c r="E23" s="20" t="s">
        <v>37</v>
      </c>
      <c r="F23" s="20" t="s">
        <v>37</v>
      </c>
      <c r="G23" s="20">
        <v>24</v>
      </c>
      <c r="H23" s="20" t="s">
        <v>2845</v>
      </c>
      <c r="I23" s="20" t="s">
        <v>2890</v>
      </c>
      <c r="J23" s="20" t="s">
        <v>37</v>
      </c>
      <c r="K23" s="20" t="s">
        <v>37</v>
      </c>
      <c r="L23" s="20" t="s">
        <v>37</v>
      </c>
      <c r="M23" s="20" t="s">
        <v>37</v>
      </c>
      <c r="N23" s="20" t="s">
        <v>37</v>
      </c>
      <c r="O23" s="20" t="s">
        <v>37</v>
      </c>
      <c r="P23" s="20" t="str">
        <f>IF(OR(F23="",K23=""),"",IF((K23-F23)*24&lt;=G23,"Sí","No"))</f>
        <v/>
      </c>
      <c r="Q23" s="20" t="s">
        <v>37</v>
      </c>
    </row>
    <row r="24" ht="46" customHeight="1" spans="1:17" x14ac:dyDescent="0.25">
      <c r="A24" s="17" t="s">
        <v>3115</v>
      </c>
      <c r="B24" s="17" t="s">
        <v>2295</v>
      </c>
      <c r="C24" s="17" t="s">
        <v>37</v>
      </c>
      <c r="D24" s="17" t="s">
        <v>37</v>
      </c>
      <c r="E24" s="17" t="s">
        <v>37</v>
      </c>
      <c r="F24" s="17" t="s">
        <v>37</v>
      </c>
      <c r="G24" s="17">
        <v>24</v>
      </c>
      <c r="H24" s="17" t="s">
        <v>2845</v>
      </c>
      <c r="I24" s="17" t="s">
        <v>2890</v>
      </c>
      <c r="J24" s="17" t="s">
        <v>37</v>
      </c>
      <c r="K24" s="17" t="s">
        <v>37</v>
      </c>
      <c r="L24" s="17" t="s">
        <v>37</v>
      </c>
      <c r="M24" s="17" t="s">
        <v>37</v>
      </c>
      <c r="N24" s="17" t="s">
        <v>37</v>
      </c>
      <c r="O24" s="17" t="s">
        <v>37</v>
      </c>
      <c r="P24" s="17" t="str">
        <f>IF(OR(F24="",K24=""),"",IF((K24-F24)*24&lt;=G24,"Sí","No"))</f>
        <v/>
      </c>
      <c r="Q24" s="17" t="s">
        <v>37</v>
      </c>
    </row>
    <row r="25" ht="46" customHeight="1" spans="1:17" x14ac:dyDescent="0.25">
      <c r="A25" s="20" t="s">
        <v>3116</v>
      </c>
      <c r="B25" s="20" t="s">
        <v>2295</v>
      </c>
      <c r="C25" s="20" t="s">
        <v>37</v>
      </c>
      <c r="D25" s="20" t="s">
        <v>37</v>
      </c>
      <c r="E25" s="20" t="s">
        <v>37</v>
      </c>
      <c r="F25" s="20" t="s">
        <v>37</v>
      </c>
      <c r="G25" s="20">
        <v>24</v>
      </c>
      <c r="H25" s="20" t="s">
        <v>2845</v>
      </c>
      <c r="I25" s="20" t="s">
        <v>2890</v>
      </c>
      <c r="J25" s="20" t="s">
        <v>37</v>
      </c>
      <c r="K25" s="20" t="s">
        <v>37</v>
      </c>
      <c r="L25" s="20" t="s">
        <v>37</v>
      </c>
      <c r="M25" s="20" t="s">
        <v>37</v>
      </c>
      <c r="N25" s="20" t="s">
        <v>37</v>
      </c>
      <c r="O25" s="20" t="s">
        <v>37</v>
      </c>
      <c r="P25" s="20" t="str">
        <f>IF(OR(F25="",K25=""),"",IF((K25-F25)*24&lt;=G25,"Sí","No"))</f>
        <v/>
      </c>
      <c r="Q25" s="20" t="s">
        <v>37</v>
      </c>
    </row>
    <row r="26" ht="46" customHeight="1" spans="1:17" x14ac:dyDescent="0.25">
      <c r="A26" s="17" t="s">
        <v>3117</v>
      </c>
      <c r="B26" s="17" t="s">
        <v>2295</v>
      </c>
      <c r="C26" s="17" t="s">
        <v>37</v>
      </c>
      <c r="D26" s="17" t="s">
        <v>37</v>
      </c>
      <c r="E26" s="17" t="s">
        <v>37</v>
      </c>
      <c r="F26" s="17" t="s">
        <v>37</v>
      </c>
      <c r="G26" s="17">
        <v>24</v>
      </c>
      <c r="H26" s="17" t="s">
        <v>2845</v>
      </c>
      <c r="I26" s="17" t="s">
        <v>2890</v>
      </c>
      <c r="J26" s="17" t="s">
        <v>37</v>
      </c>
      <c r="K26" s="17" t="s">
        <v>37</v>
      </c>
      <c r="L26" s="17" t="s">
        <v>37</v>
      </c>
      <c r="M26" s="17" t="s">
        <v>37</v>
      </c>
      <c r="N26" s="17" t="s">
        <v>37</v>
      </c>
      <c r="O26" s="17" t="s">
        <v>37</v>
      </c>
      <c r="P26" s="17" t="str">
        <f>IF(OR(F26="",K26=""),"",IF((K26-F26)*24&lt;=G26,"Sí","No"))</f>
        <v/>
      </c>
      <c r="Q26" s="17" t="s">
        <v>37</v>
      </c>
    </row>
    <row r="27" ht="46" customHeight="1" spans="1:17" x14ac:dyDescent="0.25">
      <c r="A27" s="20" t="s">
        <v>3118</v>
      </c>
      <c r="B27" s="20" t="s">
        <v>2295</v>
      </c>
      <c r="C27" s="20" t="s">
        <v>37</v>
      </c>
      <c r="D27" s="20" t="s">
        <v>37</v>
      </c>
      <c r="E27" s="20" t="s">
        <v>37</v>
      </c>
      <c r="F27" s="20" t="s">
        <v>37</v>
      </c>
      <c r="G27" s="20">
        <v>24</v>
      </c>
      <c r="H27" s="20" t="s">
        <v>2845</v>
      </c>
      <c r="I27" s="20" t="s">
        <v>2890</v>
      </c>
      <c r="J27" s="20" t="s">
        <v>37</v>
      </c>
      <c r="K27" s="20" t="s">
        <v>37</v>
      </c>
      <c r="L27" s="20" t="s">
        <v>37</v>
      </c>
      <c r="M27" s="20" t="s">
        <v>37</v>
      </c>
      <c r="N27" s="20" t="s">
        <v>37</v>
      </c>
      <c r="O27" s="20" t="s">
        <v>37</v>
      </c>
      <c r="P27" s="20" t="str">
        <f>IF(OR(F27="",K27=""),"",IF((K27-F27)*24&lt;=G27,"Sí","No"))</f>
        <v/>
      </c>
      <c r="Q27" s="20" t="s">
        <v>37</v>
      </c>
    </row>
    <row r="28" ht="46" customHeight="1" spans="1:17" x14ac:dyDescent="0.25">
      <c r="A28" s="17" t="s">
        <v>3119</v>
      </c>
      <c r="B28" s="17" t="s">
        <v>2295</v>
      </c>
      <c r="C28" s="17" t="s">
        <v>37</v>
      </c>
      <c r="D28" s="17" t="s">
        <v>37</v>
      </c>
      <c r="E28" s="17" t="s">
        <v>37</v>
      </c>
      <c r="F28" s="17" t="s">
        <v>37</v>
      </c>
      <c r="G28" s="17">
        <v>24</v>
      </c>
      <c r="H28" s="17" t="s">
        <v>2845</v>
      </c>
      <c r="I28" s="17" t="s">
        <v>2890</v>
      </c>
      <c r="J28" s="17" t="s">
        <v>37</v>
      </c>
      <c r="K28" s="17" t="s">
        <v>37</v>
      </c>
      <c r="L28" s="17" t="s">
        <v>37</v>
      </c>
      <c r="M28" s="17" t="s">
        <v>37</v>
      </c>
      <c r="N28" s="17" t="s">
        <v>37</v>
      </c>
      <c r="O28" s="17" t="s">
        <v>37</v>
      </c>
      <c r="P28" s="17" t="str">
        <f>IF(OR(F28="",K28=""),"",IF((K28-F28)*24&lt;=G28,"Sí","No"))</f>
        <v/>
      </c>
      <c r="Q28" s="17" t="s">
        <v>37</v>
      </c>
    </row>
    <row r="29" ht="46" customHeight="1" spans="1:17" x14ac:dyDescent="0.25">
      <c r="A29" s="20" t="s">
        <v>3120</v>
      </c>
      <c r="B29" s="20" t="s">
        <v>2295</v>
      </c>
      <c r="C29" s="20" t="s">
        <v>37</v>
      </c>
      <c r="D29" s="20" t="s">
        <v>37</v>
      </c>
      <c r="E29" s="20" t="s">
        <v>37</v>
      </c>
      <c r="F29" s="20" t="s">
        <v>37</v>
      </c>
      <c r="G29" s="20">
        <v>24</v>
      </c>
      <c r="H29" s="20" t="s">
        <v>2845</v>
      </c>
      <c r="I29" s="20" t="s">
        <v>2890</v>
      </c>
      <c r="J29" s="20" t="s">
        <v>37</v>
      </c>
      <c r="K29" s="20" t="s">
        <v>37</v>
      </c>
      <c r="L29" s="20" t="s">
        <v>37</v>
      </c>
      <c r="M29" s="20" t="s">
        <v>37</v>
      </c>
      <c r="N29" s="20" t="s">
        <v>37</v>
      </c>
      <c r="O29" s="20" t="s">
        <v>37</v>
      </c>
      <c r="P29" s="20" t="str">
        <f>IF(OR(F29="",K29=""),"",IF((K29-F29)*24&lt;=G29,"Sí","No"))</f>
        <v/>
      </c>
      <c r="Q29" s="20" t="s">
        <v>37</v>
      </c>
    </row>
    <row r="30" ht="46" customHeight="1" spans="1:17" x14ac:dyDescent="0.25">
      <c r="A30" s="17" t="s">
        <v>3121</v>
      </c>
      <c r="B30" s="17" t="s">
        <v>2295</v>
      </c>
      <c r="C30" s="17" t="s">
        <v>37</v>
      </c>
      <c r="D30" s="17" t="s">
        <v>37</v>
      </c>
      <c r="E30" s="17" t="s">
        <v>37</v>
      </c>
      <c r="F30" s="17" t="s">
        <v>37</v>
      </c>
      <c r="G30" s="17">
        <v>24</v>
      </c>
      <c r="H30" s="17" t="s">
        <v>2845</v>
      </c>
      <c r="I30" s="17" t="s">
        <v>2890</v>
      </c>
      <c r="J30" s="17" t="s">
        <v>37</v>
      </c>
      <c r="K30" s="17" t="s">
        <v>37</v>
      </c>
      <c r="L30" s="17" t="s">
        <v>37</v>
      </c>
      <c r="M30" s="17" t="s">
        <v>37</v>
      </c>
      <c r="N30" s="17" t="s">
        <v>37</v>
      </c>
      <c r="O30" s="17" t="s">
        <v>37</v>
      </c>
      <c r="P30" s="17" t="str">
        <f>IF(OR(F30="",K30=""),"",IF((K30-F30)*24&lt;=G30,"Sí","No"))</f>
        <v/>
      </c>
      <c r="Q30" s="17" t="s">
        <v>37</v>
      </c>
    </row>
    <row r="31" ht="46" customHeight="1" spans="1:17" x14ac:dyDescent="0.25">
      <c r="A31" s="20" t="s">
        <v>3122</v>
      </c>
      <c r="B31" s="20" t="s">
        <v>2295</v>
      </c>
      <c r="C31" s="20" t="s">
        <v>37</v>
      </c>
      <c r="D31" s="20" t="s">
        <v>37</v>
      </c>
      <c r="E31" s="20" t="s">
        <v>37</v>
      </c>
      <c r="F31" s="20" t="s">
        <v>37</v>
      </c>
      <c r="G31" s="20">
        <v>24</v>
      </c>
      <c r="H31" s="20" t="s">
        <v>2845</v>
      </c>
      <c r="I31" s="20" t="s">
        <v>2890</v>
      </c>
      <c r="J31" s="20" t="s">
        <v>37</v>
      </c>
      <c r="K31" s="20" t="s">
        <v>37</v>
      </c>
      <c r="L31" s="20" t="s">
        <v>37</v>
      </c>
      <c r="M31" s="20" t="s">
        <v>37</v>
      </c>
      <c r="N31" s="20" t="s">
        <v>37</v>
      </c>
      <c r="O31" s="20" t="s">
        <v>37</v>
      </c>
      <c r="P31" s="20" t="str">
        <f>IF(OR(F31="",K31=""),"",IF((K31-F31)*24&lt;=G31,"Sí","No"))</f>
        <v/>
      </c>
      <c r="Q31" s="20" t="s">
        <v>37</v>
      </c>
    </row>
    <row r="32" ht="46" customHeight="1" spans="1:17" x14ac:dyDescent="0.25">
      <c r="A32" s="17" t="s">
        <v>3123</v>
      </c>
      <c r="B32" s="17" t="s">
        <v>2295</v>
      </c>
      <c r="C32" s="17" t="s">
        <v>37</v>
      </c>
      <c r="D32" s="17" t="s">
        <v>37</v>
      </c>
      <c r="E32" s="17" t="s">
        <v>37</v>
      </c>
      <c r="F32" s="17" t="s">
        <v>37</v>
      </c>
      <c r="G32" s="17">
        <v>24</v>
      </c>
      <c r="H32" s="17" t="s">
        <v>2845</v>
      </c>
      <c r="I32" s="17" t="s">
        <v>2890</v>
      </c>
      <c r="J32" s="17" t="s">
        <v>37</v>
      </c>
      <c r="K32" s="17" t="s">
        <v>37</v>
      </c>
      <c r="L32" s="17" t="s">
        <v>37</v>
      </c>
      <c r="M32" s="17" t="s">
        <v>37</v>
      </c>
      <c r="N32" s="17" t="s">
        <v>37</v>
      </c>
      <c r="O32" s="17" t="s">
        <v>37</v>
      </c>
      <c r="P32" s="17" t="str">
        <f>IF(OR(F32="",K32=""),"",IF((K32-F32)*24&lt;=G32,"Sí","No"))</f>
        <v/>
      </c>
      <c r="Q32" s="17" t="s">
        <v>37</v>
      </c>
    </row>
    <row r="33" ht="46" customHeight="1" spans="1:17" x14ac:dyDescent="0.25">
      <c r="A33" s="20" t="s">
        <v>3124</v>
      </c>
      <c r="B33" s="20" t="s">
        <v>2295</v>
      </c>
      <c r="C33" s="20" t="s">
        <v>37</v>
      </c>
      <c r="D33" s="20" t="s">
        <v>37</v>
      </c>
      <c r="E33" s="20" t="s">
        <v>37</v>
      </c>
      <c r="F33" s="20" t="s">
        <v>37</v>
      </c>
      <c r="G33" s="20">
        <v>24</v>
      </c>
      <c r="H33" s="20" t="s">
        <v>2845</v>
      </c>
      <c r="I33" s="20" t="s">
        <v>2890</v>
      </c>
      <c r="J33" s="20" t="s">
        <v>37</v>
      </c>
      <c r="K33" s="20" t="s">
        <v>37</v>
      </c>
      <c r="L33" s="20" t="s">
        <v>37</v>
      </c>
      <c r="M33" s="20" t="s">
        <v>37</v>
      </c>
      <c r="N33" s="20" t="s">
        <v>37</v>
      </c>
      <c r="O33" s="20" t="s">
        <v>37</v>
      </c>
      <c r="P33" s="20" t="str">
        <f>IF(OR(F33="",K33=""),"",IF((K33-F33)*24&lt;=G33,"Sí","No"))</f>
        <v/>
      </c>
      <c r="Q33" s="20" t="s">
        <v>37</v>
      </c>
    </row>
    <row r="34" ht="46" customHeight="1" spans="1:17" x14ac:dyDescent="0.25">
      <c r="A34" s="17" t="s">
        <v>3125</v>
      </c>
      <c r="B34" s="17" t="s">
        <v>2295</v>
      </c>
      <c r="C34" s="17" t="s">
        <v>37</v>
      </c>
      <c r="D34" s="17" t="s">
        <v>37</v>
      </c>
      <c r="E34" s="17" t="s">
        <v>37</v>
      </c>
      <c r="F34" s="17" t="s">
        <v>37</v>
      </c>
      <c r="G34" s="17">
        <v>24</v>
      </c>
      <c r="H34" s="17" t="s">
        <v>2845</v>
      </c>
      <c r="I34" s="17" t="s">
        <v>2890</v>
      </c>
      <c r="J34" s="17" t="s">
        <v>37</v>
      </c>
      <c r="K34" s="17" t="s">
        <v>37</v>
      </c>
      <c r="L34" s="17" t="s">
        <v>37</v>
      </c>
      <c r="M34" s="17" t="s">
        <v>37</v>
      </c>
      <c r="N34" s="17" t="s">
        <v>37</v>
      </c>
      <c r="O34" s="17" t="s">
        <v>37</v>
      </c>
      <c r="P34" s="17" t="str">
        <f>IF(OR(F34="",K34=""),"",IF((K34-F34)*24&lt;=G34,"Sí","No"))</f>
        <v/>
      </c>
      <c r="Q34" s="17" t="s">
        <v>37</v>
      </c>
    </row>
    <row r="35" ht="46" customHeight="1" spans="1:17" x14ac:dyDescent="0.25">
      <c r="A35" s="20" t="s">
        <v>3126</v>
      </c>
      <c r="B35" s="20" t="s">
        <v>2295</v>
      </c>
      <c r="C35" s="20" t="s">
        <v>37</v>
      </c>
      <c r="D35" s="20" t="s">
        <v>37</v>
      </c>
      <c r="E35" s="20" t="s">
        <v>37</v>
      </c>
      <c r="F35" s="20" t="s">
        <v>37</v>
      </c>
      <c r="G35" s="20">
        <v>24</v>
      </c>
      <c r="H35" s="20" t="s">
        <v>2845</v>
      </c>
      <c r="I35" s="20" t="s">
        <v>2890</v>
      </c>
      <c r="J35" s="20" t="s">
        <v>37</v>
      </c>
      <c r="K35" s="20" t="s">
        <v>37</v>
      </c>
      <c r="L35" s="20" t="s">
        <v>37</v>
      </c>
      <c r="M35" s="20" t="s">
        <v>37</v>
      </c>
      <c r="N35" s="20" t="s">
        <v>37</v>
      </c>
      <c r="O35" s="20" t="s">
        <v>37</v>
      </c>
      <c r="P35" s="20" t="str">
        <f>IF(OR(F35="",K35=""),"",IF((K35-F35)*24&lt;=G35,"Sí","No"))</f>
        <v/>
      </c>
      <c r="Q35" s="20" t="s">
        <v>37</v>
      </c>
    </row>
    <row r="36" ht="46" customHeight="1" spans="1:17" x14ac:dyDescent="0.25">
      <c r="A36" s="17" t="s">
        <v>3127</v>
      </c>
      <c r="B36" s="17" t="s">
        <v>2295</v>
      </c>
      <c r="C36" s="17" t="s">
        <v>37</v>
      </c>
      <c r="D36" s="17" t="s">
        <v>37</v>
      </c>
      <c r="E36" s="17" t="s">
        <v>37</v>
      </c>
      <c r="F36" s="17" t="s">
        <v>37</v>
      </c>
      <c r="G36" s="17">
        <v>24</v>
      </c>
      <c r="H36" s="17" t="s">
        <v>2845</v>
      </c>
      <c r="I36" s="17" t="s">
        <v>2890</v>
      </c>
      <c r="J36" s="17" t="s">
        <v>37</v>
      </c>
      <c r="K36" s="17" t="s">
        <v>37</v>
      </c>
      <c r="L36" s="17" t="s">
        <v>37</v>
      </c>
      <c r="M36" s="17" t="s">
        <v>37</v>
      </c>
      <c r="N36" s="17" t="s">
        <v>37</v>
      </c>
      <c r="O36" s="17" t="s">
        <v>37</v>
      </c>
      <c r="P36" s="17" t="str">
        <f>IF(OR(F36="",K36=""),"",IF((K36-F36)*24&lt;=G36,"Sí","No"))</f>
        <v/>
      </c>
      <c r="Q36" s="17" t="s">
        <v>37</v>
      </c>
    </row>
    <row r="37" ht="46" customHeight="1" spans="1:17" x14ac:dyDescent="0.25">
      <c r="A37" s="20" t="s">
        <v>3128</v>
      </c>
      <c r="B37" s="20" t="s">
        <v>2295</v>
      </c>
      <c r="C37" s="20" t="s">
        <v>37</v>
      </c>
      <c r="D37" s="20" t="s">
        <v>37</v>
      </c>
      <c r="E37" s="20" t="s">
        <v>37</v>
      </c>
      <c r="F37" s="20" t="s">
        <v>37</v>
      </c>
      <c r="G37" s="20">
        <v>24</v>
      </c>
      <c r="H37" s="20" t="s">
        <v>2845</v>
      </c>
      <c r="I37" s="20" t="s">
        <v>2890</v>
      </c>
      <c r="J37" s="20" t="s">
        <v>37</v>
      </c>
      <c r="K37" s="20" t="s">
        <v>37</v>
      </c>
      <c r="L37" s="20" t="s">
        <v>37</v>
      </c>
      <c r="M37" s="20" t="s">
        <v>37</v>
      </c>
      <c r="N37" s="20" t="s">
        <v>37</v>
      </c>
      <c r="O37" s="20" t="s">
        <v>37</v>
      </c>
      <c r="P37" s="20" t="str">
        <f>IF(OR(F37="",K37=""),"",IF((K37-F37)*24&lt;=G37,"Sí","No"))</f>
        <v/>
      </c>
      <c r="Q37" s="20" t="s">
        <v>37</v>
      </c>
    </row>
    <row r="38" ht="46" customHeight="1" spans="1:17" x14ac:dyDescent="0.25">
      <c r="A38" s="17" t="s">
        <v>3129</v>
      </c>
      <c r="B38" s="17" t="s">
        <v>2295</v>
      </c>
      <c r="C38" s="17" t="s">
        <v>37</v>
      </c>
      <c r="D38" s="17" t="s">
        <v>37</v>
      </c>
      <c r="E38" s="17" t="s">
        <v>37</v>
      </c>
      <c r="F38" s="17" t="s">
        <v>37</v>
      </c>
      <c r="G38" s="17">
        <v>24</v>
      </c>
      <c r="H38" s="17" t="s">
        <v>2845</v>
      </c>
      <c r="I38" s="17" t="s">
        <v>2890</v>
      </c>
      <c r="J38" s="17" t="s">
        <v>37</v>
      </c>
      <c r="K38" s="17" t="s">
        <v>37</v>
      </c>
      <c r="L38" s="17" t="s">
        <v>37</v>
      </c>
      <c r="M38" s="17" t="s">
        <v>37</v>
      </c>
      <c r="N38" s="17" t="s">
        <v>37</v>
      </c>
      <c r="O38" s="17" t="s">
        <v>37</v>
      </c>
      <c r="P38" s="17" t="str">
        <f>IF(OR(F38="",K38=""),"",IF((K38-F38)*24&lt;=G38,"Sí","No"))</f>
        <v/>
      </c>
      <c r="Q38" s="17" t="s">
        <v>37</v>
      </c>
    </row>
    <row r="39" ht="46" customHeight="1" spans="1:17" x14ac:dyDescent="0.25">
      <c r="A39" s="20" t="s">
        <v>3130</v>
      </c>
      <c r="B39" s="20" t="s">
        <v>2295</v>
      </c>
      <c r="C39" s="20" t="s">
        <v>37</v>
      </c>
      <c r="D39" s="20" t="s">
        <v>37</v>
      </c>
      <c r="E39" s="20" t="s">
        <v>37</v>
      </c>
      <c r="F39" s="20" t="s">
        <v>37</v>
      </c>
      <c r="G39" s="20">
        <v>24</v>
      </c>
      <c r="H39" s="20" t="s">
        <v>2845</v>
      </c>
      <c r="I39" s="20" t="s">
        <v>2890</v>
      </c>
      <c r="J39" s="20" t="s">
        <v>37</v>
      </c>
      <c r="K39" s="20" t="s">
        <v>37</v>
      </c>
      <c r="L39" s="20" t="s">
        <v>37</v>
      </c>
      <c r="M39" s="20" t="s">
        <v>37</v>
      </c>
      <c r="N39" s="20" t="s">
        <v>37</v>
      </c>
      <c r="O39" s="20" t="s">
        <v>37</v>
      </c>
      <c r="P39" s="20" t="str">
        <f>IF(OR(F39="",K39=""),"",IF((K39-F39)*24&lt;=G39,"Sí","No"))</f>
        <v/>
      </c>
      <c r="Q39" s="20" t="s">
        <v>37</v>
      </c>
    </row>
    <row r="40" ht="46" customHeight="1" spans="1:17" x14ac:dyDescent="0.25">
      <c r="A40" s="17" t="s">
        <v>3131</v>
      </c>
      <c r="B40" s="17" t="s">
        <v>2295</v>
      </c>
      <c r="C40" s="17" t="s">
        <v>37</v>
      </c>
      <c r="D40" s="17" t="s">
        <v>37</v>
      </c>
      <c r="E40" s="17" t="s">
        <v>37</v>
      </c>
      <c r="F40" s="17" t="s">
        <v>37</v>
      </c>
      <c r="G40" s="17">
        <v>24</v>
      </c>
      <c r="H40" s="17" t="s">
        <v>2845</v>
      </c>
      <c r="I40" s="17" t="s">
        <v>2890</v>
      </c>
      <c r="J40" s="17" t="s">
        <v>37</v>
      </c>
      <c r="K40" s="17" t="s">
        <v>37</v>
      </c>
      <c r="L40" s="17" t="s">
        <v>37</v>
      </c>
      <c r="M40" s="17" t="s">
        <v>37</v>
      </c>
      <c r="N40" s="17" t="s">
        <v>37</v>
      </c>
      <c r="O40" s="17" t="s">
        <v>37</v>
      </c>
      <c r="P40" s="17" t="str">
        <f>IF(OR(F40="",K40=""),"",IF((K40-F40)*24&lt;=G40,"Sí","No"))</f>
        <v/>
      </c>
      <c r="Q40" s="17" t="s">
        <v>37</v>
      </c>
    </row>
    <row r="41" ht="46" customHeight="1" spans="1:17" x14ac:dyDescent="0.25">
      <c r="A41" s="20" t="s">
        <v>3132</v>
      </c>
      <c r="B41" s="20" t="s">
        <v>2295</v>
      </c>
      <c r="C41" s="20" t="s">
        <v>37</v>
      </c>
      <c r="D41" s="20" t="s">
        <v>37</v>
      </c>
      <c r="E41" s="20" t="s">
        <v>37</v>
      </c>
      <c r="F41" s="20" t="s">
        <v>37</v>
      </c>
      <c r="G41" s="20">
        <v>24</v>
      </c>
      <c r="H41" s="20" t="s">
        <v>2845</v>
      </c>
      <c r="I41" s="20" t="s">
        <v>2890</v>
      </c>
      <c r="J41" s="20" t="s">
        <v>37</v>
      </c>
      <c r="K41" s="20" t="s">
        <v>37</v>
      </c>
      <c r="L41" s="20" t="s">
        <v>37</v>
      </c>
      <c r="M41" s="20" t="s">
        <v>37</v>
      </c>
      <c r="N41" s="20" t="s">
        <v>37</v>
      </c>
      <c r="O41" s="20" t="s">
        <v>37</v>
      </c>
      <c r="P41" s="20" t="str">
        <f>IF(OR(F41="",K41=""),"",IF((K41-F41)*24&lt;=G41,"Sí","No"))</f>
        <v/>
      </c>
      <c r="Q41" s="20" t="s">
        <v>37</v>
      </c>
    </row>
    <row r="42" ht="46" customHeight="1" spans="1:17" x14ac:dyDescent="0.25">
      <c r="A42" s="17" t="s">
        <v>3133</v>
      </c>
      <c r="B42" s="17" t="s">
        <v>2295</v>
      </c>
      <c r="C42" s="17" t="s">
        <v>37</v>
      </c>
      <c r="D42" s="17" t="s">
        <v>37</v>
      </c>
      <c r="E42" s="17" t="s">
        <v>37</v>
      </c>
      <c r="F42" s="17" t="s">
        <v>37</v>
      </c>
      <c r="G42" s="17">
        <v>24</v>
      </c>
      <c r="H42" s="17" t="s">
        <v>2845</v>
      </c>
      <c r="I42" s="17" t="s">
        <v>2890</v>
      </c>
      <c r="J42" s="17" t="s">
        <v>37</v>
      </c>
      <c r="K42" s="17" t="s">
        <v>37</v>
      </c>
      <c r="L42" s="17" t="s">
        <v>37</v>
      </c>
      <c r="M42" s="17" t="s">
        <v>37</v>
      </c>
      <c r="N42" s="17" t="s">
        <v>37</v>
      </c>
      <c r="O42" s="17" t="s">
        <v>37</v>
      </c>
      <c r="P42" s="17" t="str">
        <f>IF(OR(F42="",K42=""),"",IF((K42-F42)*24&lt;=G42,"Sí","No"))</f>
        <v/>
      </c>
      <c r="Q42" s="17" t="s">
        <v>37</v>
      </c>
    </row>
    <row r="43" ht="46" customHeight="1" spans="1:17" x14ac:dyDescent="0.25">
      <c r="A43" s="20" t="s">
        <v>3134</v>
      </c>
      <c r="B43" s="20" t="s">
        <v>2295</v>
      </c>
      <c r="C43" s="20" t="s">
        <v>37</v>
      </c>
      <c r="D43" s="20" t="s">
        <v>37</v>
      </c>
      <c r="E43" s="20" t="s">
        <v>37</v>
      </c>
      <c r="F43" s="20" t="s">
        <v>37</v>
      </c>
      <c r="G43" s="20">
        <v>24</v>
      </c>
      <c r="H43" s="20" t="s">
        <v>2845</v>
      </c>
      <c r="I43" s="20" t="s">
        <v>2890</v>
      </c>
      <c r="J43" s="20" t="s">
        <v>37</v>
      </c>
      <c r="K43" s="20" t="s">
        <v>37</v>
      </c>
      <c r="L43" s="20" t="s">
        <v>37</v>
      </c>
      <c r="M43" s="20" t="s">
        <v>37</v>
      </c>
      <c r="N43" s="20" t="s">
        <v>37</v>
      </c>
      <c r="O43" s="20" t="s">
        <v>37</v>
      </c>
      <c r="P43" s="20" t="str">
        <f>IF(OR(F43="",K43=""),"",IF((K43-F43)*24&lt;=G43,"Sí","No"))</f>
        <v/>
      </c>
      <c r="Q43" s="20" t="s">
        <v>37</v>
      </c>
    </row>
    <row r="44" ht="46" customHeight="1" spans="1:17" x14ac:dyDescent="0.25">
      <c r="A44" s="17" t="s">
        <v>3135</v>
      </c>
      <c r="B44" s="17" t="s">
        <v>2295</v>
      </c>
      <c r="C44" s="17" t="s">
        <v>37</v>
      </c>
      <c r="D44" s="17" t="s">
        <v>37</v>
      </c>
      <c r="E44" s="17" t="s">
        <v>37</v>
      </c>
      <c r="F44" s="17" t="s">
        <v>37</v>
      </c>
      <c r="G44" s="17">
        <v>24</v>
      </c>
      <c r="H44" s="17" t="s">
        <v>2845</v>
      </c>
      <c r="I44" s="17" t="s">
        <v>2890</v>
      </c>
      <c r="J44" s="17" t="s">
        <v>37</v>
      </c>
      <c r="K44" s="17" t="s">
        <v>37</v>
      </c>
      <c r="L44" s="17" t="s">
        <v>37</v>
      </c>
      <c r="M44" s="17" t="s">
        <v>37</v>
      </c>
      <c r="N44" s="17" t="s">
        <v>37</v>
      </c>
      <c r="O44" s="17" t="s">
        <v>37</v>
      </c>
      <c r="P44" s="17" t="str">
        <f>IF(OR(F44="",K44=""),"",IF((K44-F44)*24&lt;=G44,"Sí","No"))</f>
        <v/>
      </c>
      <c r="Q44" s="17" t="s">
        <v>37</v>
      </c>
    </row>
    <row r="45" ht="46" customHeight="1" spans="1:17" x14ac:dyDescent="0.25">
      <c r="A45" s="20" t="s">
        <v>3136</v>
      </c>
      <c r="B45" s="20" t="s">
        <v>2295</v>
      </c>
      <c r="C45" s="20" t="s">
        <v>37</v>
      </c>
      <c r="D45" s="20" t="s">
        <v>37</v>
      </c>
      <c r="E45" s="20" t="s">
        <v>37</v>
      </c>
      <c r="F45" s="20" t="s">
        <v>37</v>
      </c>
      <c r="G45" s="20">
        <v>24</v>
      </c>
      <c r="H45" s="20" t="s">
        <v>2845</v>
      </c>
      <c r="I45" s="20" t="s">
        <v>2890</v>
      </c>
      <c r="J45" s="20" t="s">
        <v>37</v>
      </c>
      <c r="K45" s="20" t="s">
        <v>37</v>
      </c>
      <c r="L45" s="20" t="s">
        <v>37</v>
      </c>
      <c r="M45" s="20" t="s">
        <v>37</v>
      </c>
      <c r="N45" s="20" t="s">
        <v>37</v>
      </c>
      <c r="O45" s="20" t="s">
        <v>37</v>
      </c>
      <c r="P45" s="20" t="str">
        <f>IF(OR(F45="",K45=""),"",IF((K45-F45)*24&lt;=G45,"Sí","No"))</f>
        <v/>
      </c>
      <c r="Q45" s="20" t="s">
        <v>37</v>
      </c>
    </row>
  </sheetData>
  <autoFilter ref="A5:Q45"/>
  <mergeCells count="2">
    <mergeCell ref="A1:Q1"/>
    <mergeCell ref="A2:Q2"/>
  </mergeCells>
  <dataValidations count="6">
    <dataValidation type="list" allowBlank="1" showErrorMessage="1" error="Seleccione un valor de la lista." sqref="E10:E45">
      <formula1>'99_Listas'!$E$2:$E$6</formula1>
    </dataValidation>
    <dataValidation type="list" allowBlank="1" showErrorMessage="1" error="Seleccione un valor de la lista." sqref="E6:E45">
      <formula1>'99_Listas'!$E$2:$E$6</formula1>
    </dataValidation>
    <dataValidation type="list" allowBlank="1" showErrorMessage="1" error="Seleccione un valor de la lista." sqref="H10:H45">
      <formula1>'99_Listas'!$F$2:$F$17</formula1>
    </dataValidation>
    <dataValidation type="list" allowBlank="1" showErrorMessage="1" error="Seleccione un valor de la lista." sqref="H6:H45">
      <formula1>'99_Listas'!$F$2:$F$17</formula1>
    </dataValidation>
    <dataValidation type="list" allowBlank="1" showErrorMessage="1" error="Seleccione un valor de la lista." sqref="I10:I45">
      <formula1>'99_Listas'!$H$2:$H$5</formula1>
    </dataValidation>
    <dataValidation type="list" allowBlank="1" showErrorMessage="1" error="Seleccione un valor de la lista." sqref="I6:I45">
      <formula1>'99_Listas'!$H$2:$H$5</formula1>
    </dataValidation>
  </dataValidations>
  <pageMargins left="0.25" right="0.25" top="0.55" bottom="0.55" header="0.2" footer="0.2"/>
  <pageSetup paperSize="9" orientation="landscape" fitToWidth="1" fitToHeight="0"/>
  <headerFooter>
    <oddHeader>&amp;LGENTIA ERP&amp;CPlan de implementación&amp;R&amp;D</oddHeader>
    <oddFooter>&amp;LDocumento de trabajo&amp;CConfidencial&amp;R Página &amp;P de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sheetData>
    <row r="1" spans="1:12" x14ac:dyDescent="0.25">
      <c r="A1" t="s">
        <v>3137</v>
      </c>
      <c r="B1" t="s">
        <v>78</v>
      </c>
      <c r="C1" t="s">
        <v>3138</v>
      </c>
      <c r="D1" t="s">
        <v>32</v>
      </c>
      <c r="E1" t="s">
        <v>2294</v>
      </c>
      <c r="F1" t="s">
        <v>12</v>
      </c>
      <c r="G1" t="s">
        <v>3139</v>
      </c>
      <c r="H1" t="s">
        <v>3140</v>
      </c>
      <c r="I1" t="s">
        <v>3141</v>
      </c>
      <c r="J1" t="s">
        <v>2877</v>
      </c>
      <c r="K1" t="s">
        <v>3142</v>
      </c>
      <c r="L1" t="s">
        <v>2776</v>
      </c>
    </row>
    <row r="2" spans="1:12" x14ac:dyDescent="0.25">
      <c r="A2" t="s">
        <v>102</v>
      </c>
      <c r="B2" t="s">
        <v>168</v>
      </c>
      <c r="C2" t="s">
        <v>3143</v>
      </c>
      <c r="D2" t="s">
        <v>2301</v>
      </c>
      <c r="E2" t="s">
        <v>2302</v>
      </c>
      <c r="F2" t="s">
        <v>99</v>
      </c>
      <c r="G2" t="s">
        <v>2857</v>
      </c>
      <c r="H2" t="s">
        <v>2890</v>
      </c>
      <c r="I2" t="s">
        <v>102</v>
      </c>
      <c r="J2" t="s">
        <v>2887</v>
      </c>
      <c r="K2" t="s">
        <v>38</v>
      </c>
      <c r="L2" t="s">
        <v>3144</v>
      </c>
    </row>
    <row r="3" spans="1:12" x14ac:dyDescent="0.25">
      <c r="A3" t="s">
        <v>3145</v>
      </c>
      <c r="B3" t="s">
        <v>101</v>
      </c>
      <c r="C3" t="s">
        <v>3146</v>
      </c>
      <c r="D3" t="s">
        <v>3147</v>
      </c>
      <c r="E3" t="s">
        <v>168</v>
      </c>
      <c r="F3" t="s">
        <v>98</v>
      </c>
      <c r="G3" t="s">
        <v>2856</v>
      </c>
      <c r="H3" t="s">
        <v>3148</v>
      </c>
      <c r="I3" t="s">
        <v>3145</v>
      </c>
      <c r="J3" t="s">
        <v>3149</v>
      </c>
      <c r="K3" t="s">
        <v>39</v>
      </c>
      <c r="L3" t="s">
        <v>3150</v>
      </c>
    </row>
    <row r="4" spans="1:12" x14ac:dyDescent="0.25">
      <c r="A4" t="s">
        <v>3151</v>
      </c>
      <c r="B4" t="s">
        <v>117</v>
      </c>
      <c r="D4" t="s">
        <v>3152</v>
      </c>
      <c r="E4" t="s">
        <v>101</v>
      </c>
      <c r="F4" t="s">
        <v>232</v>
      </c>
      <c r="G4" t="s">
        <v>2858</v>
      </c>
      <c r="H4" t="s">
        <v>3153</v>
      </c>
      <c r="I4" t="s">
        <v>3151</v>
      </c>
      <c r="J4" t="s">
        <v>3154</v>
      </c>
      <c r="K4" t="s">
        <v>40</v>
      </c>
      <c r="L4" t="s">
        <v>2788</v>
      </c>
    </row>
    <row r="5" spans="1:11" x14ac:dyDescent="0.25">
      <c r="A5" t="s">
        <v>3155</v>
      </c>
      <c r="B5" t="s">
        <v>3156</v>
      </c>
      <c r="D5" t="s">
        <v>3157</v>
      </c>
      <c r="E5" t="s">
        <v>117</v>
      </c>
      <c r="F5" t="s">
        <v>166</v>
      </c>
      <c r="G5" t="s">
        <v>3158</v>
      </c>
      <c r="H5" t="s">
        <v>3159</v>
      </c>
      <c r="I5" t="s">
        <v>3155</v>
      </c>
      <c r="J5" t="s">
        <v>3160</v>
      </c>
      <c r="K5" t="s">
        <v>41</v>
      </c>
    </row>
    <row r="6" spans="1:11" x14ac:dyDescent="0.25">
      <c r="A6" t="s">
        <v>3161</v>
      </c>
      <c r="D6" t="s">
        <v>2207</v>
      </c>
      <c r="E6" t="s">
        <v>3156</v>
      </c>
      <c r="F6" t="s">
        <v>296</v>
      </c>
      <c r="I6" t="s">
        <v>3161</v>
      </c>
      <c r="K6" t="s">
        <v>42</v>
      </c>
    </row>
    <row r="7" spans="1:11" x14ac:dyDescent="0.25">
      <c r="A7" t="s">
        <v>3162</v>
      </c>
      <c r="F7" t="s">
        <v>714</v>
      </c>
      <c r="I7" t="s">
        <v>3162</v>
      </c>
      <c r="K7" t="s">
        <v>43</v>
      </c>
    </row>
    <row r="8" spans="6:11" x14ac:dyDescent="0.25">
      <c r="F8" t="s">
        <v>1428</v>
      </c>
      <c r="K8" t="s">
        <v>44</v>
      </c>
    </row>
    <row r="9" spans="6:11" x14ac:dyDescent="0.25">
      <c r="F9" t="s">
        <v>1499</v>
      </c>
      <c r="K9" t="s">
        <v>45</v>
      </c>
    </row>
    <row r="10" spans="6:11" x14ac:dyDescent="0.25">
      <c r="F10" t="s">
        <v>388</v>
      </c>
      <c r="K10" t="s">
        <v>46</v>
      </c>
    </row>
    <row r="11" spans="6:11" x14ac:dyDescent="0.25">
      <c r="F11" t="s">
        <v>44</v>
      </c>
      <c r="K11" t="s">
        <v>47</v>
      </c>
    </row>
    <row r="12" spans="6:11" x14ac:dyDescent="0.25">
      <c r="F12" t="s">
        <v>52</v>
      </c>
      <c r="K12" t="s">
        <v>48</v>
      </c>
    </row>
    <row r="13" spans="6:11" x14ac:dyDescent="0.25">
      <c r="F13" t="s">
        <v>1429</v>
      </c>
      <c r="K13" t="s">
        <v>49</v>
      </c>
    </row>
    <row r="14" spans="6:11" x14ac:dyDescent="0.25">
      <c r="F14" t="s">
        <v>233</v>
      </c>
      <c r="K14" t="s">
        <v>50</v>
      </c>
    </row>
    <row r="15" spans="6:11" x14ac:dyDescent="0.25">
      <c r="F15" t="s">
        <v>2889</v>
      </c>
      <c r="K15" t="s">
        <v>51</v>
      </c>
    </row>
    <row r="16" spans="6:11" x14ac:dyDescent="0.25">
      <c r="F16" t="s">
        <v>2854</v>
      </c>
      <c r="K16" t="s">
        <v>52</v>
      </c>
    </row>
    <row r="17" spans="6:11" x14ac:dyDescent="0.25">
      <c r="F17" t="s">
        <v>2845</v>
      </c>
      <c r="K17" t="s">
        <v>53</v>
      </c>
    </row>
    <row r="18" spans="11:11" x14ac:dyDescent="0.25">
      <c r="K18" t="s">
        <v>54</v>
      </c>
    </row>
    <row r="19" spans="11:11" x14ac:dyDescent="0.25">
      <c r="K19" t="s">
        <v>55</v>
      </c>
    </row>
    <row r="20" spans="11:11" x14ac:dyDescent="0.25">
      <c r="K20" t="s">
        <v>56</v>
      </c>
    </row>
    <row r="21" spans="11:11" x14ac:dyDescent="0.25">
      <c r="K21" t="s">
        <v>57</v>
      </c>
    </row>
    <row r="22" spans="11:11" x14ac:dyDescent="0.25">
      <c r="K22" t="s">
        <v>58</v>
      </c>
    </row>
    <row r="23" spans="11:11" x14ac:dyDescent="0.25">
      <c r="K23" t="s">
        <v>59</v>
      </c>
    </row>
    <row r="24" spans="11:11" x14ac:dyDescent="0.25">
      <c r="K24" t="s">
        <v>60</v>
      </c>
    </row>
    <row r="25" spans="11:11" x14ac:dyDescent="0.25">
      <c r="K25" t="s">
        <v>61</v>
      </c>
    </row>
    <row r="26" spans="11:11" x14ac:dyDescent="0.25">
      <c r="K26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00_Portada</vt:lpstr>
      <vt:lpstr>01_Dashboard</vt:lpstr>
      <vt:lpstr>02_Plan_Maestro</vt:lpstr>
      <vt:lpstr>03_Rollout_Filiales</vt:lpstr>
      <vt:lpstr>04_Hitos_Entregables</vt:lpstr>
      <vt:lpstr>05_Migracion_Datos</vt:lpstr>
      <vt:lpstr>06_Pruebas_UAT</vt:lpstr>
      <vt:lpstr>07_Capacitacion</vt:lpstr>
      <vt:lpstr>08_RACI</vt:lpstr>
      <vt:lpstr>09_Riesgos</vt:lpstr>
      <vt:lpstr>10_Cutover_GoLive</vt:lpstr>
      <vt:lpstr>11_Estabilizacion</vt:lpstr>
      <vt:lpstr>99_Listas</vt:lpstr>
    </vt:vector>
  </TitlesOfParts>
  <Company>GENTIA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GENTIA ERP</dc:creator>
  <dc:title>Plan de Implementación ERP GENTIA</dc:title>
  <dc:subject>Plan integral de implementación</dc:subject>
  <dc:description/>
  <cp:keywords/>
  <cp:category/>
  <cp:lastModifiedBy>GENTIA ERP</cp:lastModifiedBy>
  <dcterms:created xsi:type="dcterms:W3CDTF">2026-10-28T18:00:00Z</dcterms:created>
  <dcterms:modified xsi:type="dcterms:W3CDTF">2026-10-28T12:54:21Z</dcterms:modified>
</cp:coreProperties>
</file>